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Analisa" sheetId="1" r:id="rId1"/>
    <sheet name="Cost" sheetId="7" r:id="rId2"/>
    <sheet name="Margin" sheetId="3" r:id="rId3"/>
    <sheet name="pendukung" sheetId="2" r:id="rId4"/>
    <sheet name="Rank" sheetId="8" r:id="rId5"/>
  </sheets>
  <externalReferences>
    <externalReference r:id="rId6"/>
  </externalReferences>
  <calcPr calcId="144525"/>
  <fileRecoveryPr repairLoad="1"/>
</workbook>
</file>

<file path=xl/calcChain.xml><?xml version="1.0" encoding="utf-8"?>
<calcChain xmlns="http://schemas.openxmlformats.org/spreadsheetml/2006/main">
  <c r="C4" i="7" l="1"/>
  <c r="E4" i="1" l="1"/>
  <c r="I4" i="3" l="1"/>
  <c r="F4" i="3"/>
  <c r="C15" i="1" l="1"/>
  <c r="C7" i="3"/>
  <c r="C8" i="3"/>
  <c r="C9" i="3"/>
  <c r="C10" i="3"/>
  <c r="C11" i="3"/>
  <c r="C12" i="3"/>
  <c r="C13" i="3"/>
  <c r="C14" i="3"/>
  <c r="I15" i="1" l="1"/>
  <c r="I11" i="1"/>
  <c r="I9" i="1"/>
  <c r="G11" i="1"/>
  <c r="G9" i="1"/>
  <c r="I5" i="1" l="1"/>
  <c r="I4" i="1"/>
  <c r="AD22" i="7" l="1"/>
  <c r="AB10" i="7"/>
  <c r="AB9" i="7"/>
  <c r="C13" i="8" l="1"/>
  <c r="L4" i="3"/>
  <c r="C6" i="8"/>
  <c r="F16" i="1" l="1"/>
  <c r="F10" i="3"/>
  <c r="C4" i="3" l="1"/>
  <c r="AD18" i="7" l="1"/>
  <c r="AD13" i="7"/>
  <c r="L7" i="3" l="1"/>
  <c r="L13" i="3"/>
  <c r="L15" i="3"/>
  <c r="L9" i="3"/>
  <c r="L8" i="3"/>
  <c r="L14" i="3"/>
  <c r="L12" i="3"/>
  <c r="L11" i="3"/>
  <c r="L10" i="3"/>
  <c r="F20" i="3" l="1"/>
  <c r="F19" i="3"/>
  <c r="F18" i="3"/>
  <c r="D5" i="1" l="1"/>
  <c r="O15" i="3" l="1"/>
  <c r="O13" i="3"/>
  <c r="Q13" i="3" s="1"/>
  <c r="O12" i="3"/>
  <c r="Q12" i="3" s="1"/>
  <c r="O11" i="3"/>
  <c r="Q11" i="3" s="1"/>
  <c r="O9" i="3"/>
  <c r="Q9" i="3" s="1"/>
  <c r="Q20" i="3"/>
  <c r="Q19" i="3"/>
  <c r="Q18" i="3"/>
  <c r="Q21" i="3" s="1"/>
  <c r="Q15" i="3"/>
  <c r="O2" i="3"/>
  <c r="O8" i="3"/>
  <c r="O10" i="3" l="1"/>
  <c r="Q10" i="3" s="1"/>
  <c r="K17" i="1"/>
  <c r="Q8" i="3"/>
  <c r="K28" i="1"/>
  <c r="K29" i="1"/>
  <c r="Q25" i="3" s="1"/>
  <c r="L16" i="1"/>
  <c r="L12" i="1"/>
  <c r="O4" i="3"/>
  <c r="Q4" i="3" s="1"/>
  <c r="L11" i="1"/>
  <c r="L14" i="1"/>
  <c r="L10" i="1"/>
  <c r="L13" i="1"/>
  <c r="L9" i="1"/>
  <c r="L15" i="1"/>
  <c r="O14" i="3" l="1"/>
  <c r="L17" i="1"/>
  <c r="I17" i="1"/>
  <c r="G17" i="1"/>
  <c r="E17" i="1"/>
  <c r="C17" i="1"/>
  <c r="Q14" i="3" l="1"/>
  <c r="Q16" i="3" s="1"/>
  <c r="O16" i="3"/>
  <c r="C5" i="2" l="1"/>
  <c r="C4" i="2"/>
  <c r="F13" i="3" l="1"/>
  <c r="F14" i="3"/>
  <c r="P10" i="7" l="1"/>
  <c r="P9" i="7"/>
  <c r="L10" i="7"/>
  <c r="L9" i="7"/>
  <c r="H10" i="7"/>
  <c r="H9" i="7"/>
  <c r="D10" i="7"/>
  <c r="C2" i="3"/>
  <c r="F2" i="3"/>
  <c r="I2" i="3"/>
  <c r="L2" i="3"/>
  <c r="X19" i="7" l="1"/>
  <c r="H5" i="1" l="1"/>
  <c r="V12" i="7" l="1"/>
  <c r="U12" i="7"/>
  <c r="V11" i="7"/>
  <c r="U11" i="7"/>
  <c r="J22" i="1" l="1"/>
  <c r="J21" i="1"/>
  <c r="J20" i="1"/>
  <c r="L20" i="3"/>
  <c r="N20" i="3" s="1"/>
  <c r="L19" i="3"/>
  <c r="N19" i="3" s="1"/>
  <c r="L18" i="3"/>
  <c r="N18" i="3" s="1"/>
  <c r="J23" i="1" l="1"/>
  <c r="N21" i="3" l="1"/>
  <c r="N15" i="3" l="1"/>
  <c r="N14" i="3"/>
  <c r="N13" i="3"/>
  <c r="N11" i="3"/>
  <c r="N10" i="3"/>
  <c r="N9" i="3"/>
  <c r="N8" i="3"/>
  <c r="N4" i="3"/>
  <c r="J16" i="1"/>
  <c r="J15" i="1"/>
  <c r="J14" i="1"/>
  <c r="J13" i="1"/>
  <c r="J12" i="1"/>
  <c r="J11" i="1"/>
  <c r="J10" i="1"/>
  <c r="J9" i="1"/>
  <c r="J5" i="1"/>
  <c r="L16" i="3" l="1"/>
  <c r="N12" i="3"/>
  <c r="N16" i="3" s="1"/>
  <c r="J17" i="1"/>
  <c r="I12" i="3" l="1"/>
  <c r="O4" i="7" l="1"/>
  <c r="O3" i="7"/>
  <c r="O2" i="7"/>
  <c r="Q11" i="7" l="1"/>
  <c r="R11" i="7" s="1"/>
  <c r="Q12" i="7"/>
  <c r="R12" i="7" s="1"/>
  <c r="Q14" i="7"/>
  <c r="R14" i="7" s="1"/>
  <c r="Q8" i="7"/>
  <c r="R8" i="7" s="1"/>
  <c r="Q13" i="7"/>
  <c r="R13" i="7" s="1"/>
  <c r="Q15" i="7"/>
  <c r="R15" i="7" s="1"/>
  <c r="Q9" i="7"/>
  <c r="R9" i="7" s="1"/>
  <c r="Q16" i="7"/>
  <c r="R16" i="7" s="1"/>
  <c r="Q18" i="7"/>
  <c r="R18" i="7" s="1"/>
  <c r="Q17" i="7"/>
  <c r="R17" i="7" s="1"/>
  <c r="Q10" i="7"/>
  <c r="R10" i="7" s="1"/>
  <c r="R22" i="7" l="1"/>
  <c r="X20" i="7"/>
  <c r="K3" i="7" l="1"/>
  <c r="K2" i="7"/>
  <c r="I20" i="3"/>
  <c r="K20" i="3" s="1"/>
  <c r="I19" i="3"/>
  <c r="K19" i="3" s="1"/>
  <c r="I18" i="3"/>
  <c r="K18" i="3" s="1"/>
  <c r="M12" i="7" l="1"/>
  <c r="N12" i="7" s="1"/>
  <c r="M11" i="7"/>
  <c r="N11" i="7" s="1"/>
  <c r="K21" i="3"/>
  <c r="H22" i="1"/>
  <c r="H21" i="1"/>
  <c r="H20" i="1"/>
  <c r="K4" i="7"/>
  <c r="H16" i="1"/>
  <c r="H15" i="1"/>
  <c r="H14" i="1"/>
  <c r="H13" i="1"/>
  <c r="H12" i="1"/>
  <c r="H11" i="1"/>
  <c r="H10" i="1"/>
  <c r="H9" i="1"/>
  <c r="M17" i="7" l="1"/>
  <c r="N17" i="7" s="1"/>
  <c r="M15" i="7"/>
  <c r="N15" i="7" s="1"/>
  <c r="M18" i="7"/>
  <c r="N18" i="7" s="1"/>
  <c r="M10" i="7"/>
  <c r="N10" i="7" s="1"/>
  <c r="M8" i="7"/>
  <c r="N8" i="7" s="1"/>
  <c r="M16" i="7"/>
  <c r="N16" i="7" s="1"/>
  <c r="M14" i="7"/>
  <c r="N14" i="7" s="1"/>
  <c r="M13" i="7"/>
  <c r="N13" i="7" s="1"/>
  <c r="M9" i="7"/>
  <c r="N9" i="7" s="1"/>
  <c r="H17" i="1"/>
  <c r="H23" i="1"/>
  <c r="C28" i="1"/>
  <c r="I28" i="1"/>
  <c r="G28" i="1"/>
  <c r="E28" i="1"/>
  <c r="C29" i="1"/>
  <c r="E25" i="3" s="1"/>
  <c r="I15" i="3"/>
  <c r="K15" i="3" s="1"/>
  <c r="I14" i="3"/>
  <c r="K14" i="3" s="1"/>
  <c r="I13" i="3"/>
  <c r="K13" i="3" s="1"/>
  <c r="K12" i="3"/>
  <c r="I11" i="3"/>
  <c r="K11" i="3" s="1"/>
  <c r="I10" i="3"/>
  <c r="I9" i="3"/>
  <c r="K9" i="3" s="1"/>
  <c r="I8" i="3"/>
  <c r="K8" i="3" s="1"/>
  <c r="I7" i="3"/>
  <c r="K4" i="3"/>
  <c r="N22" i="7" l="1"/>
  <c r="K10" i="3"/>
  <c r="K16" i="3" s="1"/>
  <c r="K23" i="3" s="1"/>
  <c r="I16" i="3"/>
  <c r="N23" i="3"/>
  <c r="Q23" i="3"/>
  <c r="F15" i="3"/>
  <c r="C15" i="3"/>
  <c r="M16" i="1"/>
  <c r="O16" i="1" s="1"/>
  <c r="I29" i="1"/>
  <c r="G29" i="1"/>
  <c r="K25" i="3" s="1"/>
  <c r="E29" i="1"/>
  <c r="H25" i="3" s="1"/>
  <c r="D16" i="1"/>
  <c r="E15" i="3" l="1"/>
  <c r="R15" i="3"/>
  <c r="N25" i="3"/>
  <c r="N24" i="3"/>
  <c r="H15" i="3"/>
  <c r="S4" i="3"/>
  <c r="T15" i="3" l="1"/>
  <c r="F15" i="1"/>
  <c r="F14" i="1"/>
  <c r="F13" i="1"/>
  <c r="F12" i="1"/>
  <c r="F11" i="1"/>
  <c r="F10" i="1"/>
  <c r="F9" i="1"/>
  <c r="F5" i="1"/>
  <c r="G3" i="7"/>
  <c r="F22" i="1"/>
  <c r="F21" i="1"/>
  <c r="F20" i="1"/>
  <c r="H20" i="3"/>
  <c r="H19" i="3"/>
  <c r="H18" i="3"/>
  <c r="F12" i="3"/>
  <c r="F11" i="3"/>
  <c r="F9" i="3"/>
  <c r="H9" i="3" s="1"/>
  <c r="F8" i="3"/>
  <c r="F7" i="3"/>
  <c r="H4" i="3"/>
  <c r="M26" i="1"/>
  <c r="M25" i="1"/>
  <c r="M22" i="1"/>
  <c r="O22" i="1" s="1"/>
  <c r="M21" i="1"/>
  <c r="O21" i="1" s="1"/>
  <c r="M20" i="1"/>
  <c r="O20" i="1" s="1"/>
  <c r="M13" i="1"/>
  <c r="O13" i="1" s="1"/>
  <c r="M12" i="1"/>
  <c r="O12" i="1" s="1"/>
  <c r="M11" i="1"/>
  <c r="M10" i="1"/>
  <c r="O10" i="1" s="1"/>
  <c r="M9" i="1"/>
  <c r="O9" i="1" s="1"/>
  <c r="M8" i="1"/>
  <c r="M5" i="1"/>
  <c r="O5" i="1" s="1"/>
  <c r="M4" i="1"/>
  <c r="O4" i="1" s="1"/>
  <c r="Q24" i="3"/>
  <c r="K24" i="3"/>
  <c r="O11" i="1" l="1"/>
  <c r="F17" i="1"/>
  <c r="I12" i="7"/>
  <c r="J12" i="7" s="1"/>
  <c r="I11" i="7"/>
  <c r="J11" i="7" s="1"/>
  <c r="F23" i="1"/>
  <c r="N21" i="1"/>
  <c r="N11" i="1"/>
  <c r="N5" i="1"/>
  <c r="N12" i="1"/>
  <c r="N9" i="1"/>
  <c r="N13" i="1"/>
  <c r="N16" i="1"/>
  <c r="N20" i="1"/>
  <c r="H7" i="3"/>
  <c r="T7" i="3" s="1"/>
  <c r="F16" i="3"/>
  <c r="N10" i="1"/>
  <c r="N22" i="1"/>
  <c r="H21" i="3"/>
  <c r="H14" i="3"/>
  <c r="H13" i="3"/>
  <c r="H12" i="3"/>
  <c r="H11" i="3"/>
  <c r="H10" i="3"/>
  <c r="H8" i="3"/>
  <c r="D9" i="1"/>
  <c r="R13" i="3"/>
  <c r="M15" i="1"/>
  <c r="N15" i="1" l="1"/>
  <c r="O15" i="1"/>
  <c r="N23" i="1"/>
  <c r="H16" i="3"/>
  <c r="H23" i="3" s="1"/>
  <c r="H29" i="3" s="1"/>
  <c r="M14" i="1"/>
  <c r="O14" i="1" s="1"/>
  <c r="G4" i="7"/>
  <c r="C3" i="7"/>
  <c r="H24" i="3" l="1"/>
  <c r="H30" i="3" s="1"/>
  <c r="M29" i="1"/>
  <c r="M28" i="1"/>
  <c r="E11" i="7"/>
  <c r="F11" i="7" s="1"/>
  <c r="X11" i="7" s="1"/>
  <c r="E12" i="7"/>
  <c r="F12" i="7" s="1"/>
  <c r="N14" i="1"/>
  <c r="N17" i="1" s="1"/>
  <c r="M17" i="1"/>
  <c r="O17" i="1" s="1"/>
  <c r="W3" i="7"/>
  <c r="I18" i="7"/>
  <c r="J18" i="7" s="1"/>
  <c r="I13" i="7"/>
  <c r="J13" i="7" s="1"/>
  <c r="I16" i="7"/>
  <c r="J16" i="7" s="1"/>
  <c r="I10" i="7"/>
  <c r="J10" i="7" s="1"/>
  <c r="I8" i="7"/>
  <c r="J8" i="7" s="1"/>
  <c r="I14" i="7"/>
  <c r="J14" i="7" s="1"/>
  <c r="I15" i="7"/>
  <c r="J15" i="7" s="1"/>
  <c r="I17" i="7"/>
  <c r="J17" i="7" s="1"/>
  <c r="I9" i="7"/>
  <c r="J9" i="7" s="1"/>
  <c r="D9" i="7"/>
  <c r="D14" i="1"/>
  <c r="D26" i="1"/>
  <c r="D25" i="1"/>
  <c r="D22" i="1"/>
  <c r="D21" i="1"/>
  <c r="D20" i="1"/>
  <c r="D15" i="1"/>
  <c r="D13" i="1"/>
  <c r="D12" i="1"/>
  <c r="D11" i="1"/>
  <c r="D10" i="1"/>
  <c r="T25" i="3" l="1"/>
  <c r="D17" i="1"/>
  <c r="W11" i="7"/>
  <c r="E4" i="3"/>
  <c r="T4" i="3" s="1"/>
  <c r="R4" i="3"/>
  <c r="J22" i="7"/>
  <c r="X12" i="7"/>
  <c r="Y11" i="7" s="1"/>
  <c r="W12" i="7"/>
  <c r="D23" i="1"/>
  <c r="C20" i="3" l="1"/>
  <c r="C19" i="3"/>
  <c r="C18" i="3"/>
  <c r="E13" i="3"/>
  <c r="T13" i="3" s="1"/>
  <c r="C3" i="8" l="1"/>
  <c r="R7" i="3"/>
  <c r="C16" i="3"/>
  <c r="E12" i="3"/>
  <c r="T12" i="3" s="1"/>
  <c r="R12" i="3"/>
  <c r="E19" i="3"/>
  <c r="T19" i="3" s="1"/>
  <c r="R19" i="3"/>
  <c r="E9" i="3"/>
  <c r="T9" i="3" s="1"/>
  <c r="R9" i="3"/>
  <c r="E20" i="3"/>
  <c r="T20" i="3" s="1"/>
  <c r="R20" i="3"/>
  <c r="E10" i="3"/>
  <c r="T10" i="3" s="1"/>
  <c r="R10" i="3"/>
  <c r="E14" i="3"/>
  <c r="T14" i="3" s="1"/>
  <c r="R14" i="3"/>
  <c r="E11" i="3"/>
  <c r="T11" i="3" s="1"/>
  <c r="R11" i="3"/>
  <c r="E18" i="3"/>
  <c r="T18" i="3" s="1"/>
  <c r="R18" i="3"/>
  <c r="E8" i="3"/>
  <c r="R8" i="3"/>
  <c r="E21" i="3" l="1"/>
  <c r="T21" i="3" s="1"/>
  <c r="T8" i="3"/>
  <c r="T16" i="3" s="1"/>
  <c r="E16" i="3"/>
  <c r="T17" i="3" s="1"/>
  <c r="E10" i="7"/>
  <c r="R16" i="3"/>
  <c r="U4" i="3" l="1"/>
  <c r="E23" i="3"/>
  <c r="C2" i="8"/>
  <c r="E13" i="7"/>
  <c r="W13" i="7" s="1"/>
  <c r="E17" i="7"/>
  <c r="F17" i="7" s="1"/>
  <c r="X17" i="7" s="1"/>
  <c r="E18" i="7"/>
  <c r="F18" i="7" s="1"/>
  <c r="X18" i="7" s="1"/>
  <c r="Z18" i="7" s="1"/>
  <c r="AB18" i="7" s="1"/>
  <c r="AC18" i="7" s="1"/>
  <c r="E16" i="7"/>
  <c r="W16" i="7" s="1"/>
  <c r="E15" i="7"/>
  <c r="F15" i="7" s="1"/>
  <c r="X15" i="7" s="1"/>
  <c r="E8" i="7"/>
  <c r="E14" i="7"/>
  <c r="F14" i="7" s="1"/>
  <c r="X14" i="7" s="1"/>
  <c r="E9" i="7"/>
  <c r="W4" i="7"/>
  <c r="F10" i="7"/>
  <c r="X10" i="7" s="1"/>
  <c r="AG10" i="7" s="1"/>
  <c r="W10" i="7"/>
  <c r="F13" i="7" l="1"/>
  <c r="X13" i="7" s="1"/>
  <c r="F16" i="7"/>
  <c r="X16" i="7" s="1"/>
  <c r="W8" i="7"/>
  <c r="E24" i="7"/>
  <c r="F24" i="7" s="1"/>
  <c r="T23" i="3"/>
  <c r="E6" i="8"/>
  <c r="E24" i="3"/>
  <c r="D3" i="8"/>
  <c r="F8" i="7"/>
  <c r="W17" i="7"/>
  <c r="W18" i="7"/>
  <c r="W14" i="7"/>
  <c r="W15" i="7"/>
  <c r="W9" i="7"/>
  <c r="F9" i="7"/>
  <c r="X9" i="7" s="1"/>
  <c r="AG9" i="7" s="1"/>
  <c r="F23" i="7" l="1"/>
  <c r="Z13" i="7"/>
  <c r="AB13" i="7" s="1"/>
  <c r="AC13" i="7" s="1"/>
  <c r="X23" i="7"/>
  <c r="X8" i="7"/>
  <c r="X22" i="7" s="1"/>
  <c r="AD23" i="7" s="1"/>
  <c r="F25" i="7"/>
  <c r="F26" i="7" s="1"/>
  <c r="U23" i="3"/>
  <c r="U16" i="3" s="1"/>
  <c r="C4" i="8"/>
  <c r="T24" i="3"/>
  <c r="Y9" i="7"/>
  <c r="AH9" i="7" s="1"/>
  <c r="F22" i="7"/>
  <c r="D4" i="8" l="1"/>
  <c r="C5" i="8"/>
  <c r="E5" i="8" s="1"/>
  <c r="D5" i="8" l="1"/>
  <c r="D6" i="8" l="1"/>
  <c r="C7" i="8"/>
  <c r="E7" i="8" l="1"/>
  <c r="C14" i="8"/>
  <c r="D7" i="8"/>
  <c r="D8" i="8" s="1"/>
  <c r="C8" i="8"/>
</calcChain>
</file>

<file path=xl/sharedStrings.xml><?xml version="1.0" encoding="utf-8"?>
<sst xmlns="http://schemas.openxmlformats.org/spreadsheetml/2006/main" count="166" uniqueCount="66">
  <si>
    <t>RM</t>
  </si>
  <si>
    <t>Kg</t>
  </si>
  <si>
    <t>Tanggal</t>
  </si>
  <si>
    <t>Total</t>
  </si>
  <si>
    <t>Finished Goods</t>
  </si>
  <si>
    <t>1si 3</t>
  </si>
  <si>
    <t>isi 4</t>
  </si>
  <si>
    <t>Isi 2</t>
  </si>
  <si>
    <t>BP</t>
  </si>
  <si>
    <t>Ntrl/ Prtn</t>
  </si>
  <si>
    <t>Side Produk</t>
  </si>
  <si>
    <t>Item</t>
  </si>
  <si>
    <t>Belly</t>
  </si>
  <si>
    <t>Tetelan</t>
  </si>
  <si>
    <t>Kulit</t>
  </si>
  <si>
    <t>%</t>
  </si>
  <si>
    <t>No</t>
  </si>
  <si>
    <t>MC</t>
  </si>
  <si>
    <t>PB Ready</t>
  </si>
  <si>
    <t>PB MC</t>
  </si>
  <si>
    <t>Harga (Kg/ Pc)</t>
  </si>
  <si>
    <t>Non Phospate</t>
  </si>
  <si>
    <t>Pembersih</t>
  </si>
  <si>
    <t>Rp</t>
  </si>
  <si>
    <t>Harga Bahan Pendukung</t>
  </si>
  <si>
    <t>Rendemen Fillet</t>
  </si>
  <si>
    <t xml:space="preserve"> </t>
  </si>
  <si>
    <t>Listrik</t>
  </si>
  <si>
    <t>Air</t>
  </si>
  <si>
    <t>Avalan</t>
  </si>
  <si>
    <t>Kepala Tulang</t>
  </si>
  <si>
    <t>Tetelan Hitam</t>
  </si>
  <si>
    <t>Total Rendemen</t>
  </si>
  <si>
    <t>Margin</t>
  </si>
  <si>
    <t>Ketereangan</t>
  </si>
  <si>
    <t>Finished goods</t>
  </si>
  <si>
    <t>Cost</t>
  </si>
  <si>
    <t>Harga</t>
  </si>
  <si>
    <t>MC Ready</t>
  </si>
  <si>
    <t>KG</t>
  </si>
  <si>
    <t>PC</t>
  </si>
  <si>
    <t>SOF NATURAL</t>
  </si>
  <si>
    <t>Transport</t>
  </si>
  <si>
    <t>Perawatan</t>
  </si>
  <si>
    <t>T O T A L</t>
  </si>
  <si>
    <t xml:space="preserve">Es </t>
  </si>
  <si>
    <t>Operational</t>
  </si>
  <si>
    <t>Timbunan</t>
  </si>
  <si>
    <t>T A N G G A L</t>
  </si>
  <si>
    <t>Biaya</t>
  </si>
  <si>
    <t>Treat.</t>
  </si>
  <si>
    <t>Sewa</t>
  </si>
  <si>
    <t>Penitipan CS</t>
  </si>
  <si>
    <t>Rata - Rata</t>
  </si>
  <si>
    <t>Ket.</t>
  </si>
  <si>
    <t>Omset</t>
  </si>
  <si>
    <t>Payroll</t>
  </si>
  <si>
    <t>Nett</t>
  </si>
  <si>
    <t>Pb MC  19 gram/pc</t>
  </si>
  <si>
    <t>PB Ready 8 gram/pc</t>
  </si>
  <si>
    <t>Penghematan</t>
  </si>
  <si>
    <t>After</t>
  </si>
  <si>
    <t>Month</t>
  </si>
  <si>
    <t>Actual</t>
  </si>
  <si>
    <t>BRI</t>
  </si>
  <si>
    <t>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</si>
</sst>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(* #,##0.0_);_(* \(#,##0.0\);_(* &quot;-&quot;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wrapText="1"/>
    </xf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11" xfId="0" applyBorder="1"/>
    <xf numFmtId="165" fontId="0" fillId="0" borderId="1" xfId="0" applyNumberFormat="1" applyBorder="1"/>
    <xf numFmtId="165" fontId="0" fillId="0" borderId="0" xfId="0" applyNumberFormat="1"/>
    <xf numFmtId="164" fontId="2" fillId="0" borderId="1" xfId="1" applyNumberFormat="1" applyFont="1" applyBorder="1"/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Fill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164" fontId="3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3" xfId="0" applyFont="1" applyBorder="1"/>
    <xf numFmtId="37" fontId="0" fillId="0" borderId="1" xfId="0" applyNumberFormat="1" applyBorder="1"/>
    <xf numFmtId="164" fontId="0" fillId="0" borderId="0" xfId="0" applyNumberFormat="1"/>
    <xf numFmtId="0" fontId="0" fillId="0" borderId="3" xfId="0" applyBorder="1"/>
    <xf numFmtId="0" fontId="0" fillId="0" borderId="9" xfId="0" applyBorder="1"/>
    <xf numFmtId="164" fontId="3" fillId="3" borderId="0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0" xfId="0" applyNumberFormat="1" applyFont="1" applyBorder="1"/>
    <xf numFmtId="164" fontId="3" fillId="0" borderId="0" xfId="0" applyNumberFormat="1" applyFont="1" applyFill="1" applyBorder="1"/>
    <xf numFmtId="164" fontId="0" fillId="0" borderId="10" xfId="1" applyNumberFormat="1" applyFont="1" applyBorder="1"/>
    <xf numFmtId="164" fontId="3" fillId="0" borderId="4" xfId="0" applyNumberFormat="1" applyFont="1" applyBorder="1"/>
    <xf numFmtId="164" fontId="3" fillId="0" borderId="14" xfId="1" applyNumberFormat="1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Fill="1" applyBorder="1"/>
    <xf numFmtId="164" fontId="3" fillId="0" borderId="4" xfId="0" applyNumberFormat="1" applyFont="1" applyFill="1" applyBorder="1"/>
    <xf numFmtId="164" fontId="3" fillId="0" borderId="10" xfId="1" applyNumberFormat="1" applyFont="1" applyBorder="1" applyAlignment="1">
      <alignment horizontal="center"/>
    </xf>
    <xf numFmtId="164" fontId="3" fillId="0" borderId="1" xfId="1" applyNumberFormat="1" applyFont="1" applyBorder="1"/>
    <xf numFmtId="164" fontId="3" fillId="0" borderId="0" xfId="1" applyNumberFormat="1" applyFont="1" applyBorder="1"/>
    <xf numFmtId="165" fontId="3" fillId="0" borderId="0" xfId="0" applyNumberFormat="1" applyFont="1" applyBorder="1"/>
    <xf numFmtId="0" fontId="3" fillId="0" borderId="0" xfId="0" applyFont="1" applyBorder="1"/>
    <xf numFmtId="43" fontId="3" fillId="0" borderId="0" xfId="0" applyNumberFormat="1" applyFont="1" applyFill="1" applyBorder="1"/>
    <xf numFmtId="43" fontId="3" fillId="0" borderId="1" xfId="0" applyNumberFormat="1" applyFont="1" applyFill="1" applyBorder="1"/>
    <xf numFmtId="164" fontId="3" fillId="2" borderId="4" xfId="0" applyNumberFormat="1" applyFont="1" applyFill="1" applyBorder="1"/>
    <xf numFmtId="0" fontId="0" fillId="0" borderId="1" xfId="0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64" fontId="0" fillId="4" borderId="1" xfId="1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164" fontId="3" fillId="4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64" fontId="0" fillId="5" borderId="1" xfId="1" applyNumberFormat="1" applyFont="1" applyFill="1" applyBorder="1"/>
    <xf numFmtId="0" fontId="0" fillId="5" borderId="1" xfId="0" applyFill="1" applyBorder="1"/>
    <xf numFmtId="37" fontId="0" fillId="5" borderId="1" xfId="0" applyNumberFormat="1" applyFill="1" applyBorder="1"/>
    <xf numFmtId="164" fontId="3" fillId="5" borderId="1" xfId="0" applyNumberFormat="1" applyFont="1" applyFill="1" applyBorder="1"/>
    <xf numFmtId="164" fontId="0" fillId="5" borderId="1" xfId="0" applyNumberForma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6" borderId="1" xfId="0" applyFill="1" applyBorder="1"/>
    <xf numFmtId="37" fontId="0" fillId="6" borderId="1" xfId="0" applyNumberFormat="1" applyFill="1" applyBorder="1"/>
    <xf numFmtId="164" fontId="0" fillId="6" borderId="1" xfId="1" applyNumberFormat="1" applyFont="1" applyFill="1" applyBorder="1"/>
    <xf numFmtId="164" fontId="3" fillId="6" borderId="1" xfId="0" applyNumberFormat="1" applyFont="1" applyFill="1" applyBorder="1"/>
    <xf numFmtId="164" fontId="3" fillId="0" borderId="11" xfId="0" applyNumberFormat="1" applyFont="1" applyFill="1" applyBorder="1"/>
    <xf numFmtId="164" fontId="3" fillId="2" borderId="11" xfId="0" applyNumberFormat="1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0" fillId="7" borderId="1" xfId="0" applyFill="1" applyBorder="1"/>
    <xf numFmtId="37" fontId="0" fillId="7" borderId="1" xfId="0" applyNumberFormat="1" applyFill="1" applyBorder="1"/>
    <xf numFmtId="164" fontId="0" fillId="7" borderId="1" xfId="1" applyNumberFormat="1" applyFont="1" applyFill="1" applyBorder="1"/>
    <xf numFmtId="164" fontId="3" fillId="7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6" fontId="2" fillId="6" borderId="1" xfId="1" applyNumberFormat="1" applyFont="1" applyFill="1" applyBorder="1" applyAlignment="1">
      <alignment horizontal="right"/>
    </xf>
    <xf numFmtId="165" fontId="2" fillId="6" borderId="1" xfId="0" applyNumberFormat="1" applyFont="1" applyFill="1" applyBorder="1" applyAlignment="1">
      <alignment horizontal="right"/>
    </xf>
    <xf numFmtId="164" fontId="2" fillId="0" borderId="0" xfId="1" applyNumberFormat="1" applyFont="1" applyAlignment="1">
      <alignment horizontal="center"/>
    </xf>
    <xf numFmtId="164" fontId="2" fillId="4" borderId="1" xfId="1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164" fontId="2" fillId="4" borderId="1" xfId="0" applyNumberFormat="1" applyFont="1" applyFill="1" applyBorder="1"/>
    <xf numFmtId="164" fontId="2" fillId="0" borderId="1" xfId="0" applyNumberFormat="1" applyFont="1" applyFill="1" applyBorder="1"/>
    <xf numFmtId="166" fontId="2" fillId="0" borderId="1" xfId="0" applyNumberFormat="1" applyFont="1" applyFill="1" applyBorder="1"/>
    <xf numFmtId="164" fontId="2" fillId="0" borderId="3" xfId="1" applyNumberFormat="1" applyFont="1" applyBorder="1"/>
    <xf numFmtId="0" fontId="0" fillId="0" borderId="0" xfId="0" applyAlignment="1">
      <alignment horizontal="center"/>
    </xf>
    <xf numFmtId="165" fontId="0" fillId="4" borderId="1" xfId="0" applyNumberFormat="1" applyFill="1" applyBorder="1"/>
    <xf numFmtId="165" fontId="0" fillId="0" borderId="1" xfId="0" applyNumberFormat="1" applyFill="1" applyBorder="1"/>
    <xf numFmtId="166" fontId="2" fillId="4" borderId="1" xfId="1" applyNumberFormat="1" applyFont="1" applyFill="1" applyBorder="1"/>
    <xf numFmtId="164" fontId="0" fillId="0" borderId="0" xfId="1" applyNumberFormat="1" applyFont="1" applyBorder="1"/>
    <xf numFmtId="43" fontId="0" fillId="0" borderId="1" xfId="0" applyNumberFormat="1" applyBorder="1"/>
    <xf numFmtId="166" fontId="0" fillId="0" borderId="1" xfId="1" applyNumberFormat="1" applyFont="1" applyBorder="1"/>
    <xf numFmtId="43" fontId="0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3" fillId="4" borderId="1" xfId="1" applyNumberFormat="1" applyFont="1" applyFill="1" applyBorder="1"/>
    <xf numFmtId="164" fontId="2" fillId="5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/>
    <xf numFmtId="167" fontId="0" fillId="0" borderId="0" xfId="0" applyNumberFormat="1"/>
    <xf numFmtId="0" fontId="3" fillId="0" borderId="1" xfId="0" applyFont="1" applyBorder="1" applyAlignment="1">
      <alignment horizontal="center"/>
    </xf>
    <xf numFmtId="164" fontId="2" fillId="5" borderId="1" xfId="1" applyNumberFormat="1" applyFont="1" applyFill="1" applyBorder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/>
    <xf numFmtId="164" fontId="0" fillId="8" borderId="1" xfId="1" applyNumberFormat="1" applyFont="1" applyFill="1" applyBorder="1"/>
    <xf numFmtId="0" fontId="0" fillId="8" borderId="1" xfId="0" applyFill="1" applyBorder="1"/>
    <xf numFmtId="0" fontId="2" fillId="4" borderId="1" xfId="0" applyFont="1" applyFill="1" applyBorder="1" applyAlignment="1">
      <alignment horizontal="center"/>
    </xf>
    <xf numFmtId="164" fontId="0" fillId="2" borderId="1" xfId="1" applyNumberFormat="1" applyFont="1" applyFill="1" applyBorder="1"/>
    <xf numFmtId="43" fontId="0" fillId="0" borderId="0" xfId="0" applyNumberFormat="1"/>
    <xf numFmtId="165" fontId="3" fillId="0" borderId="3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3" fillId="0" borderId="3" xfId="0" applyNumberFormat="1" applyFont="1" applyBorder="1" applyAlignment="1"/>
    <xf numFmtId="0" fontId="3" fillId="0" borderId="4" xfId="0" applyFont="1" applyBorder="1" applyAlignment="1"/>
    <xf numFmtId="0" fontId="3" fillId="0" borderId="1" xfId="0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164" fontId="2" fillId="5" borderId="13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7" fontId="2" fillId="0" borderId="3" xfId="1" applyNumberFormat="1" applyFont="1" applyBorder="1" applyAlignment="1">
      <alignment horizontal="center"/>
    </xf>
    <xf numFmtId="37" fontId="2" fillId="0" borderId="5" xfId="1" applyNumberFormat="1" applyFont="1" applyBorder="1" applyAlignment="1">
      <alignment horizontal="center"/>
    </xf>
    <xf numFmtId="37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6" fontId="3" fillId="0" borderId="3" xfId="1" applyNumberFormat="1" applyFont="1" applyBorder="1" applyAlignment="1">
      <alignment horizontal="center"/>
    </xf>
    <xf numFmtId="166" fontId="3" fillId="0" borderId="4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Payr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si"/>
      <sheetName val="Borongan"/>
      <sheetName val="Payroll"/>
      <sheetName val="THR"/>
    </sheetNames>
    <sheetDataSet>
      <sheetData sheetId="0" refreshError="1"/>
      <sheetData sheetId="1" refreshError="1"/>
      <sheetData sheetId="2">
        <row r="38">
          <cell r="L38">
            <v>59967380.952380948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U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2" max="3" width="10.42578125" customWidth="1"/>
    <col min="4" max="4" width="6.85546875" customWidth="1"/>
    <col min="5" max="5" width="10.42578125" customWidth="1"/>
    <col min="6" max="6" width="6.85546875" customWidth="1"/>
    <col min="7" max="7" width="10.42578125" customWidth="1"/>
    <col min="8" max="8" width="6.85546875" customWidth="1"/>
    <col min="9" max="9" width="10.42578125" customWidth="1"/>
    <col min="10" max="10" width="6.85546875" customWidth="1"/>
    <col min="11" max="11" width="10.42578125" customWidth="1"/>
    <col min="12" max="12" width="8.85546875" customWidth="1"/>
    <col min="13" max="13" width="10.7109375" style="3" customWidth="1"/>
    <col min="14" max="14" width="6.85546875" customWidth="1"/>
    <col min="15" max="15" width="9.5703125" bestFit="1" customWidth="1"/>
    <col min="16" max="16" width="5.42578125" customWidth="1"/>
  </cols>
  <sheetData>
    <row r="1" spans="1:21" s="5" customFormat="1" ht="15.75" x14ac:dyDescent="0.25">
      <c r="A1" s="135"/>
      <c r="B1" s="136"/>
      <c r="C1" s="129" t="s">
        <v>26</v>
      </c>
      <c r="D1" s="146"/>
      <c r="E1" s="146"/>
      <c r="F1" s="146"/>
      <c r="G1" s="146"/>
      <c r="H1" s="146"/>
      <c r="I1" s="146"/>
      <c r="J1" s="146"/>
      <c r="K1" s="146"/>
      <c r="L1" s="146"/>
      <c r="M1" s="145" t="s">
        <v>3</v>
      </c>
      <c r="N1" s="145"/>
      <c r="O1" s="139" t="s">
        <v>53</v>
      </c>
    </row>
    <row r="2" spans="1:21" s="8" customFormat="1" ht="15.75" x14ac:dyDescent="0.25">
      <c r="A2" s="135"/>
      <c r="B2" s="136"/>
      <c r="C2" s="129">
        <v>5</v>
      </c>
      <c r="D2" s="130"/>
      <c r="E2" s="129">
        <v>11</v>
      </c>
      <c r="F2" s="130"/>
      <c r="G2" s="129">
        <v>18</v>
      </c>
      <c r="H2" s="130"/>
      <c r="I2" s="129">
        <v>25</v>
      </c>
      <c r="J2" s="130"/>
      <c r="K2" s="129"/>
      <c r="L2" s="130"/>
      <c r="M2" s="145"/>
      <c r="N2" s="145"/>
      <c r="O2" s="139"/>
    </row>
    <row r="3" spans="1:21" s="8" customFormat="1" ht="15.75" x14ac:dyDescent="0.25">
      <c r="A3" s="137"/>
      <c r="B3" s="138"/>
      <c r="C3" s="6" t="s">
        <v>1</v>
      </c>
      <c r="D3" s="6" t="s">
        <v>15</v>
      </c>
      <c r="E3" s="116" t="s">
        <v>1</v>
      </c>
      <c r="F3" s="6" t="s">
        <v>15</v>
      </c>
      <c r="G3" s="6" t="s">
        <v>1</v>
      </c>
      <c r="H3" s="6" t="s">
        <v>15</v>
      </c>
      <c r="I3" s="6" t="s">
        <v>1</v>
      </c>
      <c r="J3" s="6" t="s">
        <v>15</v>
      </c>
      <c r="K3" s="6" t="s">
        <v>1</v>
      </c>
      <c r="L3" s="6" t="s">
        <v>15</v>
      </c>
      <c r="M3" s="6" t="s">
        <v>1</v>
      </c>
      <c r="N3" s="6" t="s">
        <v>15</v>
      </c>
      <c r="O3" s="139"/>
      <c r="U3" s="8" t="s">
        <v>26</v>
      </c>
    </row>
    <row r="4" spans="1:21" ht="15.75" x14ac:dyDescent="0.25">
      <c r="A4" s="132" t="s">
        <v>0</v>
      </c>
      <c r="B4" s="133"/>
      <c r="C4" s="106">
        <v>3563</v>
      </c>
      <c r="D4" s="97"/>
      <c r="E4" s="96">
        <f>617.7+3317</f>
        <v>3934.7</v>
      </c>
      <c r="F4" s="97"/>
      <c r="G4" s="96">
        <v>3200</v>
      </c>
      <c r="H4" s="97"/>
      <c r="I4" s="96">
        <f>G4</f>
        <v>3200</v>
      </c>
      <c r="J4" s="97"/>
      <c r="K4" s="96"/>
      <c r="L4" s="97"/>
      <c r="M4" s="96">
        <f>C4+E4+G4+I4+K4</f>
        <v>13897.7</v>
      </c>
      <c r="N4" s="97"/>
      <c r="O4" s="99">
        <f>M4/4</f>
        <v>3474.4250000000002</v>
      </c>
    </row>
    <row r="5" spans="1:21" ht="15.75" x14ac:dyDescent="0.25">
      <c r="A5" s="134" t="s">
        <v>25</v>
      </c>
      <c r="B5" s="134"/>
      <c r="C5" s="106">
        <v>1372</v>
      </c>
      <c r="D5" s="98">
        <f>C5/C$4%</f>
        <v>38.506876227897834</v>
      </c>
      <c r="E5" s="96">
        <v>1505</v>
      </c>
      <c r="F5" s="98">
        <f>E5/E$4%</f>
        <v>38.249421811065645</v>
      </c>
      <c r="G5" s="96">
        <v>1240</v>
      </c>
      <c r="H5" s="98">
        <f>G5/G$4%</f>
        <v>38.75</v>
      </c>
      <c r="I5" s="96">
        <f>G5</f>
        <v>1240</v>
      </c>
      <c r="J5" s="98">
        <f>I5/I$4%</f>
        <v>38.75</v>
      </c>
      <c r="K5" s="96"/>
      <c r="L5" s="97"/>
      <c r="M5" s="96">
        <f>C5+E5+G5+I5+K5</f>
        <v>5357</v>
      </c>
      <c r="N5" s="98">
        <f>M5/M$4%</f>
        <v>38.545946451571119</v>
      </c>
      <c r="O5" s="99">
        <f>M5/4</f>
        <v>1339.25</v>
      </c>
    </row>
    <row r="6" spans="1:21" ht="15.75" x14ac:dyDescent="0.25">
      <c r="A6" s="19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7"/>
    </row>
    <row r="7" spans="1:21" s="5" customFormat="1" ht="15.75" x14ac:dyDescent="0.25">
      <c r="A7" s="5" t="s">
        <v>4</v>
      </c>
      <c r="Q7" s="5" t="s">
        <v>26</v>
      </c>
    </row>
    <row r="8" spans="1:21" ht="15.75" x14ac:dyDescent="0.25">
      <c r="A8" s="7"/>
      <c r="B8" s="6"/>
      <c r="C8" s="1"/>
      <c r="D8" s="21"/>
      <c r="E8" s="1"/>
      <c r="F8" s="1"/>
      <c r="G8" s="1"/>
      <c r="H8" s="1"/>
      <c r="I8" s="1"/>
      <c r="J8" s="1"/>
      <c r="K8" s="1"/>
      <c r="L8" s="1"/>
      <c r="M8" s="23">
        <f t="shared" ref="M8:M16" si="0">C8+E8+G8+I8+K8</f>
        <v>0</v>
      </c>
      <c r="N8" s="1"/>
      <c r="O8" s="1"/>
      <c r="P8" t="s">
        <v>26</v>
      </c>
    </row>
    <row r="9" spans="1:21" ht="15.75" x14ac:dyDescent="0.25">
      <c r="A9" s="7">
        <v>0.5</v>
      </c>
      <c r="B9" s="6" t="s">
        <v>5</v>
      </c>
      <c r="C9" s="1">
        <v>207</v>
      </c>
      <c r="D9" s="21">
        <f>C9/C$4%</f>
        <v>5.8097109177659272</v>
      </c>
      <c r="E9" s="1">
        <v>200</v>
      </c>
      <c r="F9" s="21">
        <f t="shared" ref="F9:L15" si="1">E9/E$4%</f>
        <v>5.0829796426665306</v>
      </c>
      <c r="G9" s="1">
        <f>E9</f>
        <v>200</v>
      </c>
      <c r="H9" s="21">
        <f t="shared" si="1"/>
        <v>6.25</v>
      </c>
      <c r="I9" s="1">
        <f>G9</f>
        <v>200</v>
      </c>
      <c r="J9" s="21">
        <f t="shared" si="1"/>
        <v>6.25</v>
      </c>
      <c r="K9" s="1"/>
      <c r="L9" s="21" t="e">
        <f t="shared" si="1"/>
        <v>#DIV/0!</v>
      </c>
      <c r="M9" s="23">
        <f t="shared" si="0"/>
        <v>807</v>
      </c>
      <c r="N9" s="21">
        <f t="shared" ref="N9:N16" si="2">M9/M$4%</f>
        <v>5.8067162192305197</v>
      </c>
      <c r="O9" s="100">
        <f>M9/4</f>
        <v>201.75</v>
      </c>
    </row>
    <row r="10" spans="1:21" ht="15.75" x14ac:dyDescent="0.25">
      <c r="A10" s="6"/>
      <c r="B10" s="6" t="s">
        <v>6</v>
      </c>
      <c r="C10" s="1"/>
      <c r="D10" s="21">
        <f t="shared" ref="D10:L16" si="3">C10/C$4%</f>
        <v>0</v>
      </c>
      <c r="E10" s="1"/>
      <c r="F10" s="21">
        <f t="shared" si="1"/>
        <v>0</v>
      </c>
      <c r="G10" s="1"/>
      <c r="H10" s="105">
        <f t="shared" si="1"/>
        <v>0</v>
      </c>
      <c r="I10" s="1"/>
      <c r="J10" s="21">
        <f t="shared" si="1"/>
        <v>0</v>
      </c>
      <c r="K10" s="1"/>
      <c r="L10" s="21" t="e">
        <f t="shared" si="1"/>
        <v>#DIV/0!</v>
      </c>
      <c r="M10" s="23">
        <f t="shared" si="0"/>
        <v>0</v>
      </c>
      <c r="N10" s="21">
        <f t="shared" si="2"/>
        <v>0</v>
      </c>
      <c r="O10" s="100">
        <f t="shared" ref="O10:O17" si="4">M10/4</f>
        <v>0</v>
      </c>
    </row>
    <row r="11" spans="1:21" ht="15.75" x14ac:dyDescent="0.25">
      <c r="A11" s="7">
        <v>0.55000000000000004</v>
      </c>
      <c r="B11" s="6" t="s">
        <v>7</v>
      </c>
      <c r="C11" s="1">
        <v>964</v>
      </c>
      <c r="D11" s="21">
        <f t="shared" si="3"/>
        <v>27.055851810272241</v>
      </c>
      <c r="E11" s="1">
        <v>1500</v>
      </c>
      <c r="F11" s="21">
        <f t="shared" si="1"/>
        <v>38.12234731999898</v>
      </c>
      <c r="G11" s="1">
        <f>E11</f>
        <v>1500</v>
      </c>
      <c r="H11" s="105">
        <f t="shared" si="1"/>
        <v>46.875</v>
      </c>
      <c r="I11" s="1">
        <f>G11</f>
        <v>1500</v>
      </c>
      <c r="J11" s="21">
        <f t="shared" si="1"/>
        <v>46.875</v>
      </c>
      <c r="K11" s="1"/>
      <c r="L11" s="21" t="e">
        <f t="shared" si="1"/>
        <v>#DIV/0!</v>
      </c>
      <c r="M11" s="23">
        <f t="shared" si="0"/>
        <v>5464</v>
      </c>
      <c r="N11" s="21">
        <f t="shared" si="2"/>
        <v>39.315858019672319</v>
      </c>
      <c r="O11" s="100">
        <f t="shared" si="4"/>
        <v>1366</v>
      </c>
      <c r="Q11" t="s">
        <v>26</v>
      </c>
    </row>
    <row r="12" spans="1:21" ht="15.75" x14ac:dyDescent="0.25">
      <c r="A12" s="6"/>
      <c r="B12" s="6" t="s">
        <v>5</v>
      </c>
      <c r="C12" s="1">
        <v>843</v>
      </c>
      <c r="D12" s="21">
        <f t="shared" si="3"/>
        <v>23.659837215829356</v>
      </c>
      <c r="E12" s="1"/>
      <c r="F12" s="21">
        <f t="shared" si="1"/>
        <v>0</v>
      </c>
      <c r="G12" s="1"/>
      <c r="H12" s="21">
        <f t="shared" si="1"/>
        <v>0</v>
      </c>
      <c r="I12" s="1"/>
      <c r="J12" s="21">
        <f t="shared" si="1"/>
        <v>0</v>
      </c>
      <c r="K12" s="1"/>
      <c r="L12" s="21" t="e">
        <f t="shared" si="1"/>
        <v>#DIV/0!</v>
      </c>
      <c r="M12" s="23">
        <f t="shared" si="0"/>
        <v>843</v>
      </c>
      <c r="N12" s="21">
        <f t="shared" si="2"/>
        <v>6.065751887002885</v>
      </c>
      <c r="O12" s="100">
        <f t="shared" si="4"/>
        <v>210.75</v>
      </c>
    </row>
    <row r="13" spans="1:21" ht="15.75" x14ac:dyDescent="0.25">
      <c r="A13" s="6"/>
      <c r="B13" s="6" t="s">
        <v>6</v>
      </c>
      <c r="C13" s="1">
        <v>31</v>
      </c>
      <c r="D13" s="21">
        <f t="shared" si="3"/>
        <v>0.87005332584900363</v>
      </c>
      <c r="E13" s="1"/>
      <c r="F13" s="21">
        <f t="shared" si="1"/>
        <v>0</v>
      </c>
      <c r="G13" s="1"/>
      <c r="H13" s="105">
        <f t="shared" si="1"/>
        <v>0</v>
      </c>
      <c r="I13" s="1"/>
      <c r="J13" s="21">
        <f t="shared" si="1"/>
        <v>0</v>
      </c>
      <c r="K13" s="1"/>
      <c r="L13" s="21" t="e">
        <f t="shared" si="1"/>
        <v>#DIV/0!</v>
      </c>
      <c r="M13" s="23">
        <f t="shared" si="0"/>
        <v>31</v>
      </c>
      <c r="N13" s="21">
        <f t="shared" si="2"/>
        <v>0.22305849169287004</v>
      </c>
      <c r="O13" s="100">
        <f t="shared" si="4"/>
        <v>7.75</v>
      </c>
      <c r="S13" t="s">
        <v>26</v>
      </c>
    </row>
    <row r="14" spans="1:21" ht="15.75" x14ac:dyDescent="0.25">
      <c r="A14" s="6"/>
      <c r="B14" s="6" t="s">
        <v>8</v>
      </c>
      <c r="C14" s="1"/>
      <c r="D14" s="21">
        <f t="shared" si="3"/>
        <v>0</v>
      </c>
      <c r="E14" s="1"/>
      <c r="F14" s="21">
        <f t="shared" si="1"/>
        <v>0</v>
      </c>
      <c r="G14" s="1"/>
      <c r="H14" s="105">
        <f t="shared" si="1"/>
        <v>0</v>
      </c>
      <c r="I14" s="1"/>
      <c r="J14" s="21">
        <f t="shared" si="1"/>
        <v>0</v>
      </c>
      <c r="K14" s="1"/>
      <c r="L14" s="21" t="e">
        <f t="shared" si="1"/>
        <v>#DIV/0!</v>
      </c>
      <c r="M14" s="23">
        <f t="shared" si="0"/>
        <v>0</v>
      </c>
      <c r="N14" s="21">
        <f t="shared" si="2"/>
        <v>0</v>
      </c>
      <c r="O14" s="100">
        <f t="shared" si="4"/>
        <v>0</v>
      </c>
      <c r="Q14" s="33"/>
    </row>
    <row r="15" spans="1:21" ht="15.75" x14ac:dyDescent="0.25">
      <c r="A15" s="129" t="s">
        <v>9</v>
      </c>
      <c r="B15" s="130"/>
      <c r="C15" s="1">
        <f>170+670+244.7+168</f>
        <v>1252.7</v>
      </c>
      <c r="D15" s="21">
        <f t="shared" si="3"/>
        <v>35.158574235195061</v>
      </c>
      <c r="E15" s="1">
        <v>1570</v>
      </c>
      <c r="F15" s="21">
        <f t="shared" si="1"/>
        <v>39.901390194932269</v>
      </c>
      <c r="G15" s="1">
        <v>1140</v>
      </c>
      <c r="H15" s="105">
        <f t="shared" si="1"/>
        <v>35.625</v>
      </c>
      <c r="I15" s="1">
        <f>G15</f>
        <v>1140</v>
      </c>
      <c r="J15" s="21">
        <f t="shared" si="1"/>
        <v>35.625</v>
      </c>
      <c r="K15" s="1"/>
      <c r="L15" s="21" t="e">
        <f t="shared" si="1"/>
        <v>#DIV/0!</v>
      </c>
      <c r="M15" s="23">
        <f t="shared" si="0"/>
        <v>5102.7</v>
      </c>
      <c r="N15" s="21">
        <f t="shared" si="2"/>
        <v>36.716147276167995</v>
      </c>
      <c r="O15" s="100">
        <f t="shared" si="4"/>
        <v>1275.675</v>
      </c>
    </row>
    <row r="16" spans="1:21" ht="15.75" x14ac:dyDescent="0.25">
      <c r="A16" s="142" t="s">
        <v>47</v>
      </c>
      <c r="B16" s="142"/>
      <c r="C16" s="1"/>
      <c r="D16" s="21">
        <f t="shared" si="3"/>
        <v>0</v>
      </c>
      <c r="E16" s="1"/>
      <c r="F16" s="21">
        <f t="shared" si="3"/>
        <v>0</v>
      </c>
      <c r="G16" s="1"/>
      <c r="H16" s="21">
        <f t="shared" si="3"/>
        <v>0</v>
      </c>
      <c r="I16" s="1"/>
      <c r="J16" s="21">
        <f t="shared" si="3"/>
        <v>0</v>
      </c>
      <c r="K16" s="1"/>
      <c r="L16" s="21" t="e">
        <f t="shared" si="3"/>
        <v>#DIV/0!</v>
      </c>
      <c r="M16" s="23">
        <f t="shared" si="0"/>
        <v>0</v>
      </c>
      <c r="N16" s="21">
        <f t="shared" si="2"/>
        <v>0</v>
      </c>
      <c r="O16" s="100">
        <f t="shared" si="4"/>
        <v>0</v>
      </c>
    </row>
    <row r="17" spans="1:19" s="5" customFormat="1" ht="15.75" x14ac:dyDescent="0.25">
      <c r="C17" s="53">
        <f>SUM(C8:C15)-C16</f>
        <v>3297.7</v>
      </c>
      <c r="D17" s="48">
        <f>SUM(D8:D15)-D16</f>
        <v>92.554027504911602</v>
      </c>
      <c r="E17" s="53">
        <f>SUM(E8:E15)-E16</f>
        <v>3270</v>
      </c>
      <c r="F17" s="48">
        <f>SUM(F8:F15)-F16</f>
        <v>83.106717157597785</v>
      </c>
      <c r="G17" s="53">
        <f>SUM(G8:G15)-G16</f>
        <v>2840</v>
      </c>
      <c r="H17" s="48">
        <f>SUM(H8:H15)</f>
        <v>88.75</v>
      </c>
      <c r="I17" s="53">
        <f>SUM(I8:I15)-I16</f>
        <v>2840</v>
      </c>
      <c r="J17" s="48">
        <f>SUM(J8:J15)</f>
        <v>88.75</v>
      </c>
      <c r="K17" s="53">
        <f>SUM(K8:K15)-K16</f>
        <v>0</v>
      </c>
      <c r="L17" s="48" t="e">
        <f>SUM(L8:L15)</f>
        <v>#DIV/0!</v>
      </c>
      <c r="M17" s="53">
        <f>SUM(M8:M16)-M16</f>
        <v>12247.7</v>
      </c>
      <c r="N17" s="48">
        <f>SUM(N8:N15)</f>
        <v>88.127531893766587</v>
      </c>
      <c r="O17" s="100">
        <f t="shared" si="4"/>
        <v>3061.9250000000002</v>
      </c>
      <c r="S17" s="5" t="s">
        <v>26</v>
      </c>
    </row>
    <row r="18" spans="1:19" s="5" customFormat="1" ht="15.75" x14ac:dyDescent="0.25">
      <c r="C18" s="54"/>
      <c r="D18" s="55"/>
      <c r="E18" s="54"/>
      <c r="F18" s="55"/>
      <c r="G18" s="56"/>
      <c r="H18" s="56"/>
      <c r="I18" s="56"/>
      <c r="J18" s="56"/>
      <c r="K18" s="56"/>
      <c r="L18" s="56"/>
      <c r="M18" s="54"/>
      <c r="N18" s="55"/>
    </row>
    <row r="19" spans="1:19" ht="15.75" x14ac:dyDescent="0.25">
      <c r="A19" s="5" t="s">
        <v>10</v>
      </c>
      <c r="D19" t="s">
        <v>26</v>
      </c>
    </row>
    <row r="20" spans="1:19" ht="15.75" x14ac:dyDescent="0.25">
      <c r="A20" s="131" t="s">
        <v>12</v>
      </c>
      <c r="B20" s="131"/>
      <c r="C20" s="1">
        <v>206</v>
      </c>
      <c r="D20" s="21">
        <f t="shared" ref="D20:J22" si="5">C20/C$4%</f>
        <v>5.781644681448217</v>
      </c>
      <c r="E20" s="1"/>
      <c r="F20" s="21">
        <f t="shared" si="5"/>
        <v>0</v>
      </c>
      <c r="G20" s="1"/>
      <c r="H20" s="21">
        <f t="shared" si="5"/>
        <v>0</v>
      </c>
      <c r="I20" s="1"/>
      <c r="J20" s="21">
        <f t="shared" si="5"/>
        <v>0</v>
      </c>
      <c r="K20" s="1"/>
      <c r="L20" s="1"/>
      <c r="M20" s="23">
        <f t="shared" ref="M20:M22" si="6">C20+E20+G20+I20+K20</f>
        <v>206</v>
      </c>
      <c r="N20" s="21">
        <f t="shared" ref="N20:N22" si="7">M20/M$4%</f>
        <v>1.4822596544752009</v>
      </c>
      <c r="O20" s="100">
        <f t="shared" ref="O20:O22" si="8">M20/4</f>
        <v>51.5</v>
      </c>
    </row>
    <row r="21" spans="1:19" ht="15.75" x14ac:dyDescent="0.25">
      <c r="A21" s="131" t="s">
        <v>13</v>
      </c>
      <c r="B21" s="131"/>
      <c r="C21" s="1">
        <v>112</v>
      </c>
      <c r="D21" s="21">
        <f t="shared" si="5"/>
        <v>3.1434184675834969</v>
      </c>
      <c r="E21" s="1"/>
      <c r="F21" s="21">
        <f t="shared" si="5"/>
        <v>0</v>
      </c>
      <c r="G21" s="1"/>
      <c r="H21" s="21">
        <f t="shared" si="5"/>
        <v>0</v>
      </c>
      <c r="I21" s="1"/>
      <c r="J21" s="21">
        <f t="shared" si="5"/>
        <v>0</v>
      </c>
      <c r="K21" s="1"/>
      <c r="L21" s="1"/>
      <c r="M21" s="23">
        <f t="shared" si="6"/>
        <v>112</v>
      </c>
      <c r="N21" s="21">
        <f t="shared" si="7"/>
        <v>0.80588874418069179</v>
      </c>
      <c r="O21" s="100">
        <f t="shared" si="8"/>
        <v>28</v>
      </c>
    </row>
    <row r="22" spans="1:19" ht="15.75" x14ac:dyDescent="0.25">
      <c r="A22" s="131" t="s">
        <v>14</v>
      </c>
      <c r="B22" s="131"/>
      <c r="C22" s="1">
        <v>128</v>
      </c>
      <c r="D22" s="21">
        <f t="shared" si="5"/>
        <v>3.5924782486668536</v>
      </c>
      <c r="E22" s="1"/>
      <c r="F22" s="21">
        <f t="shared" si="5"/>
        <v>0</v>
      </c>
      <c r="G22" s="1"/>
      <c r="H22" s="21">
        <f t="shared" si="5"/>
        <v>0</v>
      </c>
      <c r="I22" s="1"/>
      <c r="J22" s="21">
        <f t="shared" si="5"/>
        <v>0</v>
      </c>
      <c r="K22" s="1"/>
      <c r="L22" s="1"/>
      <c r="M22" s="23">
        <f t="shared" si="6"/>
        <v>128</v>
      </c>
      <c r="N22" s="21">
        <f t="shared" si="7"/>
        <v>0.92101570763507623</v>
      </c>
      <c r="O22" s="100">
        <f t="shared" si="8"/>
        <v>32</v>
      </c>
    </row>
    <row r="23" spans="1:19" s="5" customFormat="1" ht="15.75" x14ac:dyDescent="0.25">
      <c r="D23" s="48">
        <f>SUM(D20:D22)</f>
        <v>12.517541397698569</v>
      </c>
      <c r="F23" s="48">
        <f>SUM(F20:F22)</f>
        <v>0</v>
      </c>
      <c r="H23" s="48">
        <f>SUM(H20:H22)</f>
        <v>0</v>
      </c>
      <c r="J23" s="48">
        <f>SUM(J20:J22)</f>
        <v>0</v>
      </c>
      <c r="N23" s="48">
        <f>SUM(N20:N22)</f>
        <v>3.2091641062909693</v>
      </c>
    </row>
    <row r="24" spans="1:19" ht="15.75" x14ac:dyDescent="0.25">
      <c r="A24" s="5" t="s">
        <v>29</v>
      </c>
    </row>
    <row r="25" spans="1:19" x14ac:dyDescent="0.25">
      <c r="A25" s="127" t="s">
        <v>30</v>
      </c>
      <c r="B25" s="127"/>
      <c r="C25" s="1"/>
      <c r="D25" s="21">
        <f t="shared" ref="D25:D26" si="9">C25/C$4%</f>
        <v>0</v>
      </c>
      <c r="E25" s="1"/>
      <c r="F25" s="1"/>
      <c r="G25" s="1"/>
      <c r="H25" s="1"/>
      <c r="I25" s="1"/>
      <c r="J25" s="1"/>
      <c r="K25" s="1"/>
      <c r="L25" s="1"/>
      <c r="M25" s="23">
        <f t="shared" ref="M25:M26" si="10">C25+E25+G25+I25+K25</f>
        <v>0</v>
      </c>
      <c r="N25" s="1"/>
      <c r="O25" s="1"/>
    </row>
    <row r="26" spans="1:19" x14ac:dyDescent="0.25">
      <c r="A26" s="127" t="s">
        <v>31</v>
      </c>
      <c r="B26" s="127"/>
      <c r="C26" s="1"/>
      <c r="D26" s="21">
        <f t="shared" si="9"/>
        <v>0</v>
      </c>
      <c r="E26" s="1"/>
      <c r="F26" s="1"/>
      <c r="G26" s="1"/>
      <c r="H26" s="1"/>
      <c r="I26" s="1"/>
      <c r="J26" s="1"/>
      <c r="K26" s="1"/>
      <c r="L26" s="1"/>
      <c r="M26" s="23">
        <f t="shared" si="10"/>
        <v>0</v>
      </c>
      <c r="N26" s="1"/>
      <c r="O26" s="1"/>
    </row>
    <row r="27" spans="1:19" x14ac:dyDescent="0.25">
      <c r="D27" s="22"/>
      <c r="P27" t="s">
        <v>26</v>
      </c>
    </row>
    <row r="28" spans="1:19" ht="15.75" x14ac:dyDescent="0.25">
      <c r="A28" s="142" t="s">
        <v>50</v>
      </c>
      <c r="B28" s="142"/>
      <c r="C28" s="143">
        <f>(((C9+C10)*0.5)+((C11+C12+C13+C14)*0.45)+C15-C16)/C5%</f>
        <v>159.13265306122449</v>
      </c>
      <c r="D28" s="144"/>
      <c r="E28" s="143">
        <f t="shared" ref="E28" si="11">(((E9+E10)*0.5)+((E11+E12+E13+E14)*0.45)+E15-E16)/E5%</f>
        <v>155.81395348837208</v>
      </c>
      <c r="F28" s="144"/>
      <c r="G28" s="140">
        <f t="shared" ref="G28" si="12">(((G9+G10)*0.5)+((G11+G12+G13+G14)*0.45)+G15-G16)/G5%</f>
        <v>154.43548387096774</v>
      </c>
      <c r="H28" s="141"/>
      <c r="I28" s="140">
        <f t="shared" ref="I28:M28" si="13">(((I9+I10)*0.5)+((I11+I12+I13+I14)*0.45)+I15-I16)/I5%</f>
        <v>154.43548387096774</v>
      </c>
      <c r="J28" s="141"/>
      <c r="K28" s="140" t="e">
        <f t="shared" si="13"/>
        <v>#DIV/0!</v>
      </c>
      <c r="L28" s="141"/>
      <c r="M28" s="140">
        <f t="shared" si="13"/>
        <v>156.02576068695163</v>
      </c>
      <c r="N28" s="141"/>
      <c r="O28" s="101"/>
    </row>
    <row r="29" spans="1:19" ht="15.75" x14ac:dyDescent="0.25">
      <c r="A29" s="128" t="s">
        <v>32</v>
      </c>
      <c r="B29" s="128"/>
      <c r="C29" s="125">
        <f>(((C9+C10)*0.5)+((C11+C12+C13+C14)*0.45)+C15-C16)/C4%</f>
        <v>61.277013752455794</v>
      </c>
      <c r="D29" s="126"/>
      <c r="E29" s="125">
        <f t="shared" ref="E29" si="14">(((E9+E10)*0.5)+((E11+E12+E13+E14)*0.45)+E15-E16)/E4%</f>
        <v>59.597936310265077</v>
      </c>
      <c r="F29" s="126"/>
      <c r="G29" s="125">
        <f t="shared" ref="G29" si="15">(((G9+G10)*0.5)+((G11+G12+G13+G14)*0.45)+G15-G16)/G4%</f>
        <v>59.84375</v>
      </c>
      <c r="H29" s="126"/>
      <c r="I29" s="125">
        <f t="shared" ref="I29:M29" si="16">(((I9+I10)*0.5)+((I11+I12+I13+I14)*0.45)+I15-I16)/I4%</f>
        <v>59.84375</v>
      </c>
      <c r="J29" s="126"/>
      <c r="K29" s="125" t="e">
        <f t="shared" si="16"/>
        <v>#DIV/0!</v>
      </c>
      <c r="L29" s="126"/>
      <c r="M29" s="125">
        <f t="shared" si="16"/>
        <v>60.141606165048884</v>
      </c>
      <c r="N29" s="126"/>
      <c r="O29" s="101"/>
    </row>
  </sheetData>
  <mergeCells count="32">
    <mergeCell ref="O1:O3"/>
    <mergeCell ref="K28:L28"/>
    <mergeCell ref="M28:N28"/>
    <mergeCell ref="A28:B28"/>
    <mergeCell ref="C28:D28"/>
    <mergeCell ref="E28:F28"/>
    <mergeCell ref="G28:H28"/>
    <mergeCell ref="I28:J28"/>
    <mergeCell ref="M1:N2"/>
    <mergeCell ref="A20:B20"/>
    <mergeCell ref="C1:L1"/>
    <mergeCell ref="A16:B16"/>
    <mergeCell ref="E2:F2"/>
    <mergeCell ref="G2:H2"/>
    <mergeCell ref="I2:J2"/>
    <mergeCell ref="C2:D2"/>
    <mergeCell ref="M29:N29"/>
    <mergeCell ref="A25:B25"/>
    <mergeCell ref="A26:B26"/>
    <mergeCell ref="A29:B29"/>
    <mergeCell ref="K2:L2"/>
    <mergeCell ref="A21:B21"/>
    <mergeCell ref="A22:B22"/>
    <mergeCell ref="C29:D29"/>
    <mergeCell ref="E29:F29"/>
    <mergeCell ref="G29:H29"/>
    <mergeCell ref="I29:J29"/>
    <mergeCell ref="K29:L29"/>
    <mergeCell ref="A15:B15"/>
    <mergeCell ref="A4:B4"/>
    <mergeCell ref="A5:B5"/>
    <mergeCell ref="A1:B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26"/>
  <sheetViews>
    <sheetView zoomScale="86" zoomScaleNormal="86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10" sqref="F10"/>
    </sheetView>
  </sheetViews>
  <sheetFormatPr defaultRowHeight="15.75" x14ac:dyDescent="0.25"/>
  <cols>
    <col min="1" max="1" width="7.28515625" customWidth="1"/>
    <col min="2" max="2" width="25" customWidth="1"/>
    <col min="3" max="4" width="8.85546875" customWidth="1"/>
    <col min="6" max="6" width="13.85546875" customWidth="1"/>
    <col min="7" max="7" width="10.140625" customWidth="1"/>
    <col min="10" max="10" width="14.7109375" customWidth="1"/>
    <col min="14" max="14" width="14.42578125" customWidth="1"/>
    <col min="15" max="15" width="9.85546875" customWidth="1"/>
    <col min="18" max="18" width="13.28515625" customWidth="1"/>
    <col min="23" max="23" width="9.85546875" style="5" customWidth="1"/>
    <col min="24" max="24" width="14.85546875" style="5" customWidth="1"/>
    <col min="25" max="25" width="15.85546875" customWidth="1"/>
    <col min="26" max="26" width="12.5703125" style="10" customWidth="1"/>
    <col min="27" max="27" width="15.7109375" style="10" customWidth="1"/>
    <col min="28" max="28" width="13.85546875" style="10" customWidth="1"/>
    <col min="29" max="29" width="11.28515625" style="10" customWidth="1"/>
    <col min="30" max="30" width="16.28515625" style="10" customWidth="1"/>
    <col min="31" max="32" width="14.85546875" style="10" customWidth="1"/>
    <col min="33" max="33" width="11.5703125" style="10" bestFit="1" customWidth="1"/>
    <col min="34" max="34" width="15.28515625" style="10" customWidth="1"/>
  </cols>
  <sheetData>
    <row r="1" spans="1:34" x14ac:dyDescent="0.25">
      <c r="C1" s="155" t="s">
        <v>2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7" t="s">
        <v>44</v>
      </c>
      <c r="X1" s="158"/>
    </row>
    <row r="2" spans="1:34" x14ac:dyDescent="0.25">
      <c r="C2" s="129">
        <v>5</v>
      </c>
      <c r="D2" s="146"/>
      <c r="E2" s="146"/>
      <c r="F2" s="130"/>
      <c r="G2" s="142">
        <v>12</v>
      </c>
      <c r="H2" s="142"/>
      <c r="I2" s="142"/>
      <c r="J2" s="142"/>
      <c r="K2" s="142">
        <f>Analisa!G2</f>
        <v>18</v>
      </c>
      <c r="L2" s="142"/>
      <c r="M2" s="142"/>
      <c r="N2" s="142"/>
      <c r="O2" s="142">
        <f>Analisa!I2</f>
        <v>25</v>
      </c>
      <c r="P2" s="142"/>
      <c r="Q2" s="142"/>
      <c r="R2" s="142"/>
      <c r="S2" s="142"/>
      <c r="T2" s="142"/>
      <c r="U2" s="142"/>
      <c r="V2" s="129"/>
      <c r="W2" s="137"/>
      <c r="X2" s="138"/>
    </row>
    <row r="3" spans="1:34" x14ac:dyDescent="0.25">
      <c r="B3" s="31" t="s">
        <v>41</v>
      </c>
      <c r="C3" s="159">
        <f>Analisa!C5</f>
        <v>1372</v>
      </c>
      <c r="D3" s="166"/>
      <c r="E3" s="166"/>
      <c r="F3" s="160"/>
      <c r="G3" s="159">
        <f>Analisa!E5</f>
        <v>1505</v>
      </c>
      <c r="H3" s="166"/>
      <c r="I3" s="166"/>
      <c r="J3" s="160"/>
      <c r="K3" s="159">
        <f>Analisa!G5</f>
        <v>1240</v>
      </c>
      <c r="L3" s="166"/>
      <c r="M3" s="166"/>
      <c r="N3" s="160"/>
      <c r="O3" s="159">
        <f>Analisa!I5</f>
        <v>1240</v>
      </c>
      <c r="P3" s="166"/>
      <c r="Q3" s="166"/>
      <c r="R3" s="160"/>
      <c r="S3" s="159"/>
      <c r="T3" s="166"/>
      <c r="U3" s="166"/>
      <c r="V3" s="160"/>
      <c r="W3" s="167">
        <f>SUM(C3:V3)</f>
        <v>5357</v>
      </c>
      <c r="X3" s="168"/>
    </row>
    <row r="4" spans="1:34" x14ac:dyDescent="0.25">
      <c r="B4" s="30" t="s">
        <v>35</v>
      </c>
      <c r="C4" s="163">
        <f>Margin!C16</f>
        <v>3297.7</v>
      </c>
      <c r="D4" s="164"/>
      <c r="E4" s="164"/>
      <c r="F4" s="165"/>
      <c r="G4" s="163">
        <f>Margin!F16</f>
        <v>3270</v>
      </c>
      <c r="H4" s="164"/>
      <c r="I4" s="164"/>
      <c r="J4" s="165"/>
      <c r="K4" s="163">
        <f>Analisa!G17</f>
        <v>2840</v>
      </c>
      <c r="L4" s="164"/>
      <c r="M4" s="164"/>
      <c r="N4" s="165"/>
      <c r="O4" s="163">
        <f>Analisa!I17</f>
        <v>2840</v>
      </c>
      <c r="P4" s="164"/>
      <c r="Q4" s="164"/>
      <c r="R4" s="165"/>
      <c r="S4" s="163"/>
      <c r="T4" s="164"/>
      <c r="U4" s="164"/>
      <c r="V4" s="165"/>
      <c r="W4" s="167">
        <f>SUM(C4:V4)</f>
        <v>12247.7</v>
      </c>
      <c r="X4" s="168"/>
    </row>
    <row r="5" spans="1:34" x14ac:dyDescent="0.25">
      <c r="A5" s="5" t="s">
        <v>36</v>
      </c>
      <c r="B5" s="3"/>
    </row>
    <row r="6" spans="1:34" s="9" customFormat="1" ht="15" x14ac:dyDescent="0.25">
      <c r="A6" s="161" t="s">
        <v>16</v>
      </c>
      <c r="B6" s="161" t="s">
        <v>34</v>
      </c>
      <c r="C6" s="159" t="s">
        <v>37</v>
      </c>
      <c r="D6" s="160"/>
      <c r="E6" s="161" t="s">
        <v>1</v>
      </c>
      <c r="F6" s="161" t="s">
        <v>49</v>
      </c>
      <c r="G6" s="159" t="s">
        <v>37</v>
      </c>
      <c r="H6" s="160"/>
      <c r="I6" s="161" t="s">
        <v>1</v>
      </c>
      <c r="J6" s="161" t="s">
        <v>49</v>
      </c>
      <c r="K6" s="159" t="s">
        <v>37</v>
      </c>
      <c r="L6" s="160"/>
      <c r="M6" s="161" t="s">
        <v>1</v>
      </c>
      <c r="N6" s="161" t="s">
        <v>49</v>
      </c>
      <c r="O6" s="159" t="s">
        <v>37</v>
      </c>
      <c r="P6" s="160"/>
      <c r="Q6" s="161" t="s">
        <v>1</v>
      </c>
      <c r="R6" s="161" t="s">
        <v>49</v>
      </c>
      <c r="S6" s="159" t="s">
        <v>37</v>
      </c>
      <c r="T6" s="160"/>
      <c r="U6" s="161" t="s">
        <v>1</v>
      </c>
      <c r="V6" s="161" t="s">
        <v>49</v>
      </c>
      <c r="W6" s="169" t="s">
        <v>1</v>
      </c>
      <c r="X6" s="169" t="s">
        <v>49</v>
      </c>
      <c r="Z6" s="151" t="s">
        <v>62</v>
      </c>
      <c r="AA6" s="151"/>
      <c r="AB6" s="152" t="s">
        <v>61</v>
      </c>
      <c r="AC6" s="150" t="s">
        <v>62</v>
      </c>
      <c r="AD6" s="150"/>
      <c r="AE6" s="95"/>
      <c r="AF6" s="95"/>
      <c r="AG6" s="95"/>
      <c r="AH6" s="95"/>
    </row>
    <row r="7" spans="1:34" s="9" customFormat="1" ht="15" x14ac:dyDescent="0.25">
      <c r="A7" s="162"/>
      <c r="B7" s="162"/>
      <c r="C7" s="14" t="s">
        <v>39</v>
      </c>
      <c r="D7" s="14" t="s">
        <v>40</v>
      </c>
      <c r="E7" s="162"/>
      <c r="F7" s="162"/>
      <c r="G7" s="29" t="s">
        <v>39</v>
      </c>
      <c r="H7" s="29" t="s">
        <v>40</v>
      </c>
      <c r="I7" s="162"/>
      <c r="J7" s="162"/>
      <c r="K7" s="29" t="s">
        <v>39</v>
      </c>
      <c r="L7" s="29" t="s">
        <v>40</v>
      </c>
      <c r="M7" s="162"/>
      <c r="N7" s="162"/>
      <c r="O7" s="39" t="s">
        <v>39</v>
      </c>
      <c r="P7" s="39" t="s">
        <v>40</v>
      </c>
      <c r="Q7" s="162"/>
      <c r="R7" s="162"/>
      <c r="S7" s="39" t="s">
        <v>39</v>
      </c>
      <c r="T7" s="39" t="s">
        <v>40</v>
      </c>
      <c r="U7" s="162"/>
      <c r="V7" s="162"/>
      <c r="W7" s="170"/>
      <c r="X7" s="170"/>
      <c r="Z7" s="111" t="s">
        <v>63</v>
      </c>
      <c r="AA7" s="111" t="s">
        <v>60</v>
      </c>
      <c r="AB7" s="152"/>
      <c r="AC7" s="113" t="s">
        <v>63</v>
      </c>
      <c r="AD7" s="113" t="s">
        <v>60</v>
      </c>
      <c r="AE7" s="95"/>
      <c r="AF7" s="95"/>
      <c r="AG7" s="95"/>
      <c r="AH7" s="95"/>
    </row>
    <row r="8" spans="1:34" x14ac:dyDescent="0.25">
      <c r="A8" s="49">
        <v>1</v>
      </c>
      <c r="B8" s="47" t="s">
        <v>38</v>
      </c>
      <c r="C8" s="13"/>
      <c r="D8" s="13">
        <v>5700</v>
      </c>
      <c r="E8" s="15">
        <f>C4</f>
        <v>3297.7</v>
      </c>
      <c r="F8" s="15">
        <f>(E8/10)*D8</f>
        <v>1879689</v>
      </c>
      <c r="G8" s="13"/>
      <c r="H8" s="13">
        <v>5700</v>
      </c>
      <c r="I8" s="15">
        <f>G4</f>
        <v>3270</v>
      </c>
      <c r="J8" s="15">
        <f>(I8/10)*H8</f>
        <v>1863900</v>
      </c>
      <c r="K8" s="13"/>
      <c r="L8" s="13">
        <v>5700</v>
      </c>
      <c r="M8" s="15">
        <f>K4</f>
        <v>2840</v>
      </c>
      <c r="N8" s="15">
        <f>(M8/10)*L8</f>
        <v>1618800</v>
      </c>
      <c r="O8" s="13"/>
      <c r="P8" s="13">
        <v>5700</v>
      </c>
      <c r="Q8" s="15">
        <f>O4</f>
        <v>2840</v>
      </c>
      <c r="R8" s="15">
        <f>(Q8/10)*P8</f>
        <v>1618800</v>
      </c>
      <c r="S8" s="1"/>
      <c r="T8" s="1"/>
      <c r="U8" s="1"/>
      <c r="V8" s="1"/>
      <c r="W8" s="26">
        <f>E8+I8+M8+Q8+U8</f>
        <v>12247.7</v>
      </c>
      <c r="X8" s="26">
        <f t="shared" ref="X8:X20" si="0">F8+J8+N8+R8+V8</f>
        <v>6981189</v>
      </c>
      <c r="Z8" s="13"/>
      <c r="AA8" s="13"/>
      <c r="AB8" s="13"/>
      <c r="AC8" s="69"/>
      <c r="AD8" s="69"/>
    </row>
    <row r="9" spans="1:34" x14ac:dyDescent="0.25">
      <c r="A9" s="67">
        <v>2</v>
      </c>
      <c r="B9" s="68" t="s">
        <v>59</v>
      </c>
      <c r="C9" s="69">
        <v>50000</v>
      </c>
      <c r="D9" s="70">
        <f>(C9/1000)*8</f>
        <v>400</v>
      </c>
      <c r="E9" s="71">
        <f>C4</f>
        <v>3297.7</v>
      </c>
      <c r="F9" s="69">
        <f>D9*E9</f>
        <v>1319080</v>
      </c>
      <c r="G9" s="69">
        <v>50000</v>
      </c>
      <c r="H9" s="70">
        <f>(G9/1000)*8</f>
        <v>400</v>
      </c>
      <c r="I9" s="71">
        <f>G4</f>
        <v>3270</v>
      </c>
      <c r="J9" s="69">
        <f>H9*I9</f>
        <v>1308000</v>
      </c>
      <c r="K9" s="69">
        <v>50000</v>
      </c>
      <c r="L9" s="70">
        <f>(K9/1000)*8</f>
        <v>400</v>
      </c>
      <c r="M9" s="71">
        <f>K4</f>
        <v>2840</v>
      </c>
      <c r="N9" s="69">
        <f>L9*M9</f>
        <v>1136000</v>
      </c>
      <c r="O9" s="69">
        <v>50000</v>
      </c>
      <c r="P9" s="70">
        <f>(O9/1000)*8</f>
        <v>400</v>
      </c>
      <c r="Q9" s="71">
        <f>O4</f>
        <v>2840</v>
      </c>
      <c r="R9" s="69">
        <f>P9*Q9</f>
        <v>1136000</v>
      </c>
      <c r="S9" s="70"/>
      <c r="T9" s="70"/>
      <c r="U9" s="70"/>
      <c r="V9" s="70"/>
      <c r="W9" s="72">
        <f t="shared" ref="W9:W13" si="1">E9+I9+M9+Q9+U9</f>
        <v>12247.7</v>
      </c>
      <c r="X9" s="72">
        <f t="shared" si="0"/>
        <v>4899080</v>
      </c>
      <c r="Y9" s="148">
        <f>X9+X10</f>
        <v>6062611.5</v>
      </c>
      <c r="Z9" s="13">
        <v>4870640</v>
      </c>
      <c r="AA9" s="13">
        <v>1339426</v>
      </c>
      <c r="AB9" s="13">
        <f>Z9-AA9</f>
        <v>3531214</v>
      </c>
      <c r="AC9" s="69"/>
      <c r="AD9" s="69">
        <v>1339426</v>
      </c>
      <c r="AE9" s="10">
        <v>4870640</v>
      </c>
      <c r="AF9" s="10">
        <v>6027417</v>
      </c>
      <c r="AG9" s="10">
        <f>AE9-X9</f>
        <v>-28440</v>
      </c>
      <c r="AH9" s="10">
        <f>AF9-Y9</f>
        <v>-35194.5</v>
      </c>
    </row>
    <row r="10" spans="1:34" x14ac:dyDescent="0.25">
      <c r="A10" s="67">
        <v>3</v>
      </c>
      <c r="B10" s="68" t="s">
        <v>58</v>
      </c>
      <c r="C10" s="69">
        <v>50000</v>
      </c>
      <c r="D10" s="70">
        <f>(C10/1000)*19</f>
        <v>950</v>
      </c>
      <c r="E10" s="71">
        <f>C4</f>
        <v>3297.7</v>
      </c>
      <c r="F10" s="73">
        <f>(E10/10)*D10</f>
        <v>313281.5</v>
      </c>
      <c r="G10" s="69">
        <v>50000</v>
      </c>
      <c r="H10" s="70">
        <f>(G10/1000)*19</f>
        <v>950</v>
      </c>
      <c r="I10" s="71">
        <f>G4</f>
        <v>3270</v>
      </c>
      <c r="J10" s="73">
        <f>(I10/10)*H10</f>
        <v>310650</v>
      </c>
      <c r="K10" s="69">
        <v>50000</v>
      </c>
      <c r="L10" s="70">
        <f>(K10/1000)*19</f>
        <v>950</v>
      </c>
      <c r="M10" s="71">
        <f>K4</f>
        <v>2840</v>
      </c>
      <c r="N10" s="73">
        <f>(M10/10)*L10</f>
        <v>269800</v>
      </c>
      <c r="O10" s="69">
        <v>50000</v>
      </c>
      <c r="P10" s="70">
        <f>(O10/1000)*19</f>
        <v>950</v>
      </c>
      <c r="Q10" s="71">
        <f>O4</f>
        <v>2840</v>
      </c>
      <c r="R10" s="73">
        <f>(Q10/10)*P10</f>
        <v>269800</v>
      </c>
      <c r="S10" s="70"/>
      <c r="T10" s="70"/>
      <c r="U10" s="70"/>
      <c r="V10" s="70"/>
      <c r="W10" s="72">
        <f t="shared" si="1"/>
        <v>12247.7</v>
      </c>
      <c r="X10" s="72">
        <f t="shared" si="0"/>
        <v>1163531.5</v>
      </c>
      <c r="Y10" s="149"/>
      <c r="Z10" s="13">
        <v>1156777</v>
      </c>
      <c r="AA10" s="13">
        <v>318113.67499999993</v>
      </c>
      <c r="AB10" s="13">
        <f>Z10-AA10</f>
        <v>838663.32500000007</v>
      </c>
      <c r="AC10" s="69"/>
      <c r="AD10" s="69">
        <v>318113.67499999993</v>
      </c>
      <c r="AE10" s="10">
        <v>1156777</v>
      </c>
      <c r="AG10" s="10">
        <f>AE10-X10</f>
        <v>-6754.5</v>
      </c>
    </row>
    <row r="11" spans="1:34" x14ac:dyDescent="0.25">
      <c r="A11" s="61">
        <v>4</v>
      </c>
      <c r="B11" s="62" t="s">
        <v>21</v>
      </c>
      <c r="C11" s="63">
        <v>35000</v>
      </c>
      <c r="D11" s="64"/>
      <c r="E11" s="104">
        <f>C3*2.5%</f>
        <v>34.300000000000004</v>
      </c>
      <c r="F11" s="65">
        <f>C11*E11</f>
        <v>1200500.0000000002</v>
      </c>
      <c r="G11" s="63">
        <v>35000</v>
      </c>
      <c r="H11" s="64"/>
      <c r="I11" s="104">
        <f>G3*2.5%</f>
        <v>37.625</v>
      </c>
      <c r="J11" s="65">
        <f>G11*I11</f>
        <v>1316875</v>
      </c>
      <c r="K11" s="63">
        <v>35000</v>
      </c>
      <c r="L11" s="64"/>
      <c r="M11" s="104">
        <f>K3*2.5%</f>
        <v>31</v>
      </c>
      <c r="N11" s="65">
        <f>K11*M11</f>
        <v>1085000</v>
      </c>
      <c r="O11" s="63">
        <v>35000</v>
      </c>
      <c r="P11" s="64"/>
      <c r="Q11" s="104">
        <f>O3*2.5%</f>
        <v>31</v>
      </c>
      <c r="R11" s="65">
        <f>O11*Q11</f>
        <v>1085000</v>
      </c>
      <c r="S11" s="64"/>
      <c r="T11" s="64"/>
      <c r="U11" s="104">
        <f>S3*2.5%</f>
        <v>0</v>
      </c>
      <c r="V11" s="65">
        <f>S11*U11</f>
        <v>0</v>
      </c>
      <c r="W11" s="66">
        <f t="shared" si="1"/>
        <v>133.92500000000001</v>
      </c>
      <c r="X11" s="66">
        <f t="shared" si="0"/>
        <v>4687375</v>
      </c>
      <c r="Y11" s="153">
        <f>X11+X12</f>
        <v>7387303</v>
      </c>
      <c r="Z11" s="13"/>
      <c r="AA11" s="13"/>
      <c r="AB11" s="13"/>
      <c r="AC11" s="69"/>
      <c r="AD11" s="69"/>
    </row>
    <row r="12" spans="1:34" x14ac:dyDescent="0.25">
      <c r="A12" s="61">
        <v>5</v>
      </c>
      <c r="B12" s="62" t="s">
        <v>22</v>
      </c>
      <c r="C12" s="63">
        <v>42000</v>
      </c>
      <c r="D12" s="64"/>
      <c r="E12" s="104">
        <f>C3*1.2%</f>
        <v>16.463999999999999</v>
      </c>
      <c r="F12" s="65">
        <f>C12*E12</f>
        <v>691488</v>
      </c>
      <c r="G12" s="63">
        <v>42000</v>
      </c>
      <c r="H12" s="64"/>
      <c r="I12" s="104">
        <f>G3*1.2%</f>
        <v>18.059999999999999</v>
      </c>
      <c r="J12" s="65">
        <f>G12*I12</f>
        <v>758520</v>
      </c>
      <c r="K12" s="63">
        <v>42000</v>
      </c>
      <c r="L12" s="64"/>
      <c r="M12" s="104">
        <f>K3*1.2%</f>
        <v>14.88</v>
      </c>
      <c r="N12" s="65">
        <f>K12*M12</f>
        <v>624960</v>
      </c>
      <c r="O12" s="63">
        <v>42000</v>
      </c>
      <c r="P12" s="64"/>
      <c r="Q12" s="104">
        <f>O3*1.2%</f>
        <v>14.88</v>
      </c>
      <c r="R12" s="65">
        <f>O12*Q12</f>
        <v>624960</v>
      </c>
      <c r="S12" s="64"/>
      <c r="T12" s="64"/>
      <c r="U12" s="104">
        <f>S3*1.2%</f>
        <v>0</v>
      </c>
      <c r="V12" s="65">
        <f>S12*U12</f>
        <v>0</v>
      </c>
      <c r="W12" s="66">
        <f t="shared" si="1"/>
        <v>64.284000000000006</v>
      </c>
      <c r="X12" s="66">
        <f t="shared" si="0"/>
        <v>2699928</v>
      </c>
      <c r="Y12" s="154"/>
      <c r="Z12" s="13"/>
      <c r="AA12" s="13"/>
      <c r="AB12" s="13"/>
      <c r="AC12" s="69"/>
      <c r="AD12" s="69"/>
      <c r="AE12" s="10">
        <v>1339426</v>
      </c>
      <c r="AF12" s="10">
        <v>1657539.6749999998</v>
      </c>
    </row>
    <row r="13" spans="1:34" x14ac:dyDescent="0.25">
      <c r="A13" s="82">
        <v>6</v>
      </c>
      <c r="B13" s="83" t="s">
        <v>42</v>
      </c>
      <c r="C13" s="84">
        <v>600</v>
      </c>
      <c r="D13" s="84"/>
      <c r="E13" s="85">
        <f>C4</f>
        <v>3297.7</v>
      </c>
      <c r="F13" s="123">
        <f t="shared" ref="F13" si="2">C13*E13</f>
        <v>1978620</v>
      </c>
      <c r="G13" s="84">
        <v>600</v>
      </c>
      <c r="H13" s="84"/>
      <c r="I13" s="85">
        <f>G4</f>
        <v>3270</v>
      </c>
      <c r="J13" s="86">
        <f t="shared" ref="J13" si="3">G13*I13</f>
        <v>1962000</v>
      </c>
      <c r="K13" s="84">
        <v>600</v>
      </c>
      <c r="L13" s="84"/>
      <c r="M13" s="85">
        <f>K4</f>
        <v>2840</v>
      </c>
      <c r="N13" s="86">
        <f t="shared" ref="N13" si="4">K13*M13</f>
        <v>1704000</v>
      </c>
      <c r="O13" s="84">
        <v>600</v>
      </c>
      <c r="P13" s="84"/>
      <c r="Q13" s="85">
        <f>O4</f>
        <v>2840</v>
      </c>
      <c r="R13" s="86">
        <f t="shared" ref="R13" si="5">O13*Q13</f>
        <v>1704000</v>
      </c>
      <c r="S13" s="84"/>
      <c r="T13" s="84"/>
      <c r="U13" s="84"/>
      <c r="V13" s="84"/>
      <c r="W13" s="87">
        <f t="shared" si="1"/>
        <v>12247.7</v>
      </c>
      <c r="X13" s="87">
        <f t="shared" si="0"/>
        <v>7348620</v>
      </c>
      <c r="Z13" s="13">
        <f>X13/4</f>
        <v>1837155</v>
      </c>
      <c r="AA13" s="13">
        <v>700000</v>
      </c>
      <c r="AB13" s="13">
        <f>Z13-AA13</f>
        <v>1137155</v>
      </c>
      <c r="AC13" s="69">
        <f>AB13*4</f>
        <v>4548620</v>
      </c>
      <c r="AD13" s="69">
        <f>AA13*4</f>
        <v>2800000</v>
      </c>
      <c r="AE13" s="10">
        <v>318113.67499999993</v>
      </c>
    </row>
    <row r="14" spans="1:34" x14ac:dyDescent="0.25">
      <c r="A14" s="82">
        <v>7</v>
      </c>
      <c r="B14" s="83" t="s">
        <v>27</v>
      </c>
      <c r="C14" s="84">
        <v>600</v>
      </c>
      <c r="D14" s="84"/>
      <c r="E14" s="85">
        <f>C4</f>
        <v>3297.7</v>
      </c>
      <c r="F14" s="86">
        <f>C14*E14</f>
        <v>1978620</v>
      </c>
      <c r="G14" s="84">
        <v>600</v>
      </c>
      <c r="H14" s="84"/>
      <c r="I14" s="85">
        <f>G4</f>
        <v>3270</v>
      </c>
      <c r="J14" s="86">
        <f>G14*I14</f>
        <v>1962000</v>
      </c>
      <c r="K14" s="84">
        <v>600</v>
      </c>
      <c r="L14" s="84"/>
      <c r="M14" s="85">
        <f>K4</f>
        <v>2840</v>
      </c>
      <c r="N14" s="86">
        <f>K14*M14</f>
        <v>1704000</v>
      </c>
      <c r="O14" s="84">
        <v>600</v>
      </c>
      <c r="P14" s="84"/>
      <c r="Q14" s="85">
        <f>O4</f>
        <v>2840</v>
      </c>
      <c r="R14" s="86">
        <f>O14*Q14</f>
        <v>1704000</v>
      </c>
      <c r="S14" s="84"/>
      <c r="T14" s="84"/>
      <c r="U14" s="84"/>
      <c r="V14" s="84"/>
      <c r="W14" s="87">
        <f t="shared" ref="W14:X19" si="6">E14+I14+M14+Q14+U14</f>
        <v>12247.7</v>
      </c>
      <c r="X14" s="87">
        <f t="shared" si="6"/>
        <v>7348620</v>
      </c>
      <c r="Z14" s="13"/>
      <c r="AA14" s="13"/>
      <c r="AB14" s="13"/>
      <c r="AC14" s="69"/>
      <c r="AD14" s="69"/>
    </row>
    <row r="15" spans="1:34" x14ac:dyDescent="0.25">
      <c r="A15" s="82">
        <v>8</v>
      </c>
      <c r="B15" s="83" t="s">
        <v>28</v>
      </c>
      <c r="C15" s="84">
        <v>60</v>
      </c>
      <c r="D15" s="84"/>
      <c r="E15" s="85">
        <f>C4</f>
        <v>3297.7</v>
      </c>
      <c r="F15" s="86">
        <f>C15*E15</f>
        <v>197862</v>
      </c>
      <c r="G15" s="84">
        <v>60</v>
      </c>
      <c r="H15" s="84"/>
      <c r="I15" s="85">
        <f>G4</f>
        <v>3270</v>
      </c>
      <c r="J15" s="86">
        <f>G15*I15</f>
        <v>196200</v>
      </c>
      <c r="K15" s="84">
        <v>60</v>
      </c>
      <c r="L15" s="84"/>
      <c r="M15" s="85">
        <f>K4</f>
        <v>2840</v>
      </c>
      <c r="N15" s="86">
        <f>K15*M15</f>
        <v>170400</v>
      </c>
      <c r="O15" s="84">
        <v>60</v>
      </c>
      <c r="P15" s="84"/>
      <c r="Q15" s="85">
        <f>O4</f>
        <v>2840</v>
      </c>
      <c r="R15" s="86">
        <f>O15*Q15</f>
        <v>170400</v>
      </c>
      <c r="S15" s="84"/>
      <c r="T15" s="84"/>
      <c r="U15" s="84"/>
      <c r="V15" s="84"/>
      <c r="W15" s="87">
        <f t="shared" si="6"/>
        <v>12247.7</v>
      </c>
      <c r="X15" s="87">
        <f t="shared" si="6"/>
        <v>734862</v>
      </c>
      <c r="Z15" s="13"/>
      <c r="AA15" s="13"/>
      <c r="AB15" s="13"/>
      <c r="AC15" s="69"/>
      <c r="AD15" s="69"/>
    </row>
    <row r="16" spans="1:34" x14ac:dyDescent="0.25">
      <c r="A16" s="74">
        <v>9</v>
      </c>
      <c r="B16" s="75" t="s">
        <v>45</v>
      </c>
      <c r="C16" s="76">
        <v>200</v>
      </c>
      <c r="D16" s="76"/>
      <c r="E16" s="77">
        <f>C4</f>
        <v>3297.7</v>
      </c>
      <c r="F16" s="78">
        <f>C16*E16</f>
        <v>659540</v>
      </c>
      <c r="G16" s="76">
        <v>200</v>
      </c>
      <c r="H16" s="76"/>
      <c r="I16" s="77">
        <f>G4</f>
        <v>3270</v>
      </c>
      <c r="J16" s="78">
        <f>G16*I16</f>
        <v>654000</v>
      </c>
      <c r="K16" s="76">
        <v>200</v>
      </c>
      <c r="L16" s="76"/>
      <c r="M16" s="77">
        <f>K4</f>
        <v>2840</v>
      </c>
      <c r="N16" s="78">
        <f>K16*M16</f>
        <v>568000</v>
      </c>
      <c r="O16" s="76">
        <v>200</v>
      </c>
      <c r="P16" s="76"/>
      <c r="Q16" s="77">
        <f>O4</f>
        <v>2840</v>
      </c>
      <c r="R16" s="78">
        <f>O16*Q16</f>
        <v>568000</v>
      </c>
      <c r="S16" s="76"/>
      <c r="T16" s="76"/>
      <c r="U16" s="76"/>
      <c r="V16" s="76"/>
      <c r="W16" s="79">
        <f t="shared" si="6"/>
        <v>12247.7</v>
      </c>
      <c r="X16" s="79">
        <f t="shared" si="6"/>
        <v>2449540</v>
      </c>
      <c r="Z16" s="13"/>
      <c r="AA16" s="13"/>
      <c r="AB16" s="13"/>
      <c r="AC16" s="69"/>
      <c r="AD16" s="69"/>
    </row>
    <row r="17" spans="1:30" x14ac:dyDescent="0.25">
      <c r="A17" s="74">
        <v>10</v>
      </c>
      <c r="B17" s="75" t="s">
        <v>46</v>
      </c>
      <c r="C17" s="76">
        <v>150</v>
      </c>
      <c r="D17" s="76"/>
      <c r="E17" s="77">
        <f>C4</f>
        <v>3297.7</v>
      </c>
      <c r="F17" s="123">
        <f>C17*E17</f>
        <v>494655</v>
      </c>
      <c r="G17" s="76">
        <v>150</v>
      </c>
      <c r="H17" s="76"/>
      <c r="I17" s="77">
        <f>G4</f>
        <v>3270</v>
      </c>
      <c r="J17" s="78">
        <f>G17*I17</f>
        <v>490500</v>
      </c>
      <c r="K17" s="76">
        <v>150</v>
      </c>
      <c r="L17" s="76"/>
      <c r="M17" s="77">
        <f>K4</f>
        <v>2840</v>
      </c>
      <c r="N17" s="78">
        <f>K17*M17</f>
        <v>426000</v>
      </c>
      <c r="O17" s="76">
        <v>150</v>
      </c>
      <c r="P17" s="76"/>
      <c r="Q17" s="77">
        <f>O4</f>
        <v>2840</v>
      </c>
      <c r="R17" s="78">
        <f>O17*Q17</f>
        <v>426000</v>
      </c>
      <c r="S17" s="76"/>
      <c r="T17" s="76"/>
      <c r="U17" s="76"/>
      <c r="V17" s="76"/>
      <c r="W17" s="79">
        <f t="shared" si="6"/>
        <v>12247.7</v>
      </c>
      <c r="X17" s="79">
        <f t="shared" si="6"/>
        <v>1837155</v>
      </c>
      <c r="Z17" s="13"/>
      <c r="AA17" s="13"/>
      <c r="AB17" s="13"/>
      <c r="AC17" s="69"/>
      <c r="AD17" s="69"/>
    </row>
    <row r="18" spans="1:30" x14ac:dyDescent="0.25">
      <c r="A18" s="49">
        <v>11</v>
      </c>
      <c r="B18" s="47" t="s">
        <v>43</v>
      </c>
      <c r="C18" s="1">
        <v>600</v>
      </c>
      <c r="D18" s="1"/>
      <c r="E18" s="32">
        <f>C4</f>
        <v>3297.7</v>
      </c>
      <c r="F18" s="123">
        <f>C18*E18</f>
        <v>1978620</v>
      </c>
      <c r="G18" s="1">
        <v>600</v>
      </c>
      <c r="H18" s="1"/>
      <c r="I18" s="32">
        <f>G4</f>
        <v>3270</v>
      </c>
      <c r="J18" s="13">
        <f>G18*I18</f>
        <v>1962000</v>
      </c>
      <c r="K18" s="1">
        <v>600</v>
      </c>
      <c r="L18" s="1"/>
      <c r="M18" s="32">
        <f>K4</f>
        <v>2840</v>
      </c>
      <c r="N18" s="13">
        <f>K18*M18</f>
        <v>1704000</v>
      </c>
      <c r="O18" s="1">
        <v>600</v>
      </c>
      <c r="P18" s="1"/>
      <c r="Q18" s="32">
        <f>O4</f>
        <v>2840</v>
      </c>
      <c r="R18" s="13">
        <f>O18*Q18</f>
        <v>1704000</v>
      </c>
      <c r="S18" s="1"/>
      <c r="T18" s="1"/>
      <c r="U18" s="1"/>
      <c r="V18" s="1"/>
      <c r="W18" s="26">
        <f t="shared" si="6"/>
        <v>12247.7</v>
      </c>
      <c r="X18" s="26">
        <f t="shared" si="6"/>
        <v>7348620</v>
      </c>
      <c r="Y18" s="33"/>
      <c r="Z18" s="13">
        <f>X18/4</f>
        <v>1837155</v>
      </c>
      <c r="AA18" s="13">
        <v>500000</v>
      </c>
      <c r="AB18" s="13">
        <f>Z18-AA18</f>
        <v>1337155</v>
      </c>
      <c r="AC18" s="69">
        <f>AB18*4</f>
        <v>5348620</v>
      </c>
      <c r="AD18" s="69">
        <f>AA18*4</f>
        <v>2000000</v>
      </c>
    </row>
    <row r="19" spans="1:30" x14ac:dyDescent="0.25">
      <c r="A19" s="88">
        <v>12</v>
      </c>
      <c r="B19" s="47" t="s">
        <v>52</v>
      </c>
      <c r="C19" s="1"/>
      <c r="D19" s="1"/>
      <c r="E19" s="32"/>
      <c r="F19" s="13">
        <v>1500000</v>
      </c>
      <c r="G19" s="1"/>
      <c r="H19" s="1"/>
      <c r="I19" s="32"/>
      <c r="J19" s="13"/>
      <c r="K19" s="1"/>
      <c r="L19" s="1"/>
      <c r="M19" s="32"/>
      <c r="N19" s="13"/>
      <c r="O19" s="1"/>
      <c r="P19" s="1"/>
      <c r="Q19" s="32"/>
      <c r="R19" s="13"/>
      <c r="S19" s="1"/>
      <c r="T19" s="1"/>
      <c r="U19" s="1"/>
      <c r="V19" s="1"/>
      <c r="W19" s="26"/>
      <c r="X19" s="26">
        <f t="shared" si="6"/>
        <v>1500000</v>
      </c>
      <c r="Y19" s="10"/>
      <c r="Z19" s="13"/>
      <c r="AA19" s="13"/>
      <c r="AB19" s="13"/>
      <c r="AC19" s="69"/>
      <c r="AD19" s="69">
        <v>1000000</v>
      </c>
    </row>
    <row r="20" spans="1:30" x14ac:dyDescent="0.25">
      <c r="A20" s="49">
        <v>13</v>
      </c>
      <c r="B20" s="47" t="s">
        <v>51</v>
      </c>
      <c r="C20" s="1"/>
      <c r="D20" s="1"/>
      <c r="E20" s="32"/>
      <c r="F20" s="13">
        <v>1000000</v>
      </c>
      <c r="G20" s="1"/>
      <c r="H20" s="1"/>
      <c r="I20" s="1"/>
      <c r="J20" s="13">
        <v>1000000</v>
      </c>
      <c r="K20" s="1"/>
      <c r="L20" s="1"/>
      <c r="M20" s="1"/>
      <c r="N20" s="13">
        <v>1000000</v>
      </c>
      <c r="O20" s="1"/>
      <c r="P20" s="1"/>
      <c r="Q20" s="1"/>
      <c r="R20" s="13">
        <v>1000000</v>
      </c>
      <c r="S20" s="1"/>
      <c r="T20" s="1"/>
      <c r="U20" s="1"/>
      <c r="V20" s="1"/>
      <c r="W20" s="47"/>
      <c r="X20" s="26">
        <f t="shared" si="0"/>
        <v>4000000</v>
      </c>
      <c r="Y20" s="10"/>
      <c r="Z20" s="13"/>
      <c r="AA20" s="13"/>
      <c r="AB20" s="13"/>
      <c r="AC20" s="69"/>
      <c r="AD20" s="69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47"/>
      <c r="X21" s="47"/>
      <c r="Y21" s="10"/>
      <c r="Z21" s="13"/>
      <c r="AA21" s="13"/>
      <c r="AB21" s="13"/>
      <c r="AC21" s="69"/>
      <c r="AD21" s="69"/>
    </row>
    <row r="22" spans="1:30" ht="18.75" customHeight="1" x14ac:dyDescent="0.25">
      <c r="D22" s="147" t="s">
        <v>44</v>
      </c>
      <c r="E22" s="147"/>
      <c r="F22" s="80">
        <f>SUM(F8:F20)</f>
        <v>15191955.5</v>
      </c>
      <c r="G22" s="36" t="s">
        <v>26</v>
      </c>
      <c r="H22" s="147" t="s">
        <v>44</v>
      </c>
      <c r="I22" s="147"/>
      <c r="J22" s="80">
        <f>SUM(J8:J20)</f>
        <v>13784645</v>
      </c>
      <c r="L22" s="147" t="s">
        <v>44</v>
      </c>
      <c r="M22" s="147"/>
      <c r="N22" s="80">
        <f>SUM(N8:N20)</f>
        <v>12010960</v>
      </c>
      <c r="O22" s="43"/>
      <c r="P22" s="147" t="s">
        <v>44</v>
      </c>
      <c r="Q22" s="147"/>
      <c r="R22" s="80">
        <f>SUM(R8:R20)</f>
        <v>12010960</v>
      </c>
      <c r="X22" s="81">
        <f>SUM(X8:X20)</f>
        <v>52998520.5</v>
      </c>
      <c r="Y22" s="33"/>
      <c r="AD22" s="112">
        <f>SUM(AD8:AD21)</f>
        <v>7457539.6749999998</v>
      </c>
    </row>
    <row r="23" spans="1:30" ht="21" customHeight="1" x14ac:dyDescent="0.25">
      <c r="F23" s="33">
        <f>F13+F17+F18</f>
        <v>4451895</v>
      </c>
      <c r="X23" s="33">
        <f>X13+X17+X18</f>
        <v>16534395</v>
      </c>
      <c r="Y23" s="33"/>
      <c r="AD23" s="114">
        <f>X22-AD22</f>
        <v>45540980.825000003</v>
      </c>
    </row>
    <row r="24" spans="1:30" x14ac:dyDescent="0.25">
      <c r="D24">
        <v>5700</v>
      </c>
      <c r="E24" s="33">
        <f>E8</f>
        <v>3297.7</v>
      </c>
      <c r="F24" s="15">
        <f>(E24/10)*D24</f>
        <v>1879689</v>
      </c>
      <c r="X24" s="33"/>
      <c r="Y24" s="33"/>
    </row>
    <row r="25" spans="1:30" x14ac:dyDescent="0.25">
      <c r="F25" s="33">
        <f>F24-F8</f>
        <v>0</v>
      </c>
      <c r="Y25" s="10"/>
    </row>
    <row r="26" spans="1:30" x14ac:dyDescent="0.25">
      <c r="F26" s="33">
        <f>F25*4</f>
        <v>0</v>
      </c>
    </row>
  </sheetData>
  <mergeCells count="47">
    <mergeCell ref="D22:E22"/>
    <mergeCell ref="C6:D6"/>
    <mergeCell ref="C2:F2"/>
    <mergeCell ref="C3:F3"/>
    <mergeCell ref="A6:A7"/>
    <mergeCell ref="B6:B7"/>
    <mergeCell ref="E6:E7"/>
    <mergeCell ref="F6:F7"/>
    <mergeCell ref="H22:I22"/>
    <mergeCell ref="S2:V2"/>
    <mergeCell ref="S3:V3"/>
    <mergeCell ref="S4:V4"/>
    <mergeCell ref="S6:T6"/>
    <mergeCell ref="U6:U7"/>
    <mergeCell ref="V6:V7"/>
    <mergeCell ref="O2:R2"/>
    <mergeCell ref="O3:R3"/>
    <mergeCell ref="O4:R4"/>
    <mergeCell ref="O6:P6"/>
    <mergeCell ref="Q6:Q7"/>
    <mergeCell ref="R6:R7"/>
    <mergeCell ref="K2:N2"/>
    <mergeCell ref="K3:N3"/>
    <mergeCell ref="K4:N4"/>
    <mergeCell ref="C1:V1"/>
    <mergeCell ref="W1:X2"/>
    <mergeCell ref="G6:H6"/>
    <mergeCell ref="I6:I7"/>
    <mergeCell ref="J6:J7"/>
    <mergeCell ref="K6:L6"/>
    <mergeCell ref="M6:M7"/>
    <mergeCell ref="N6:N7"/>
    <mergeCell ref="C4:F4"/>
    <mergeCell ref="G2:J2"/>
    <mergeCell ref="G3:J3"/>
    <mergeCell ref="G4:J4"/>
    <mergeCell ref="W3:X3"/>
    <mergeCell ref="W4:X4"/>
    <mergeCell ref="W6:W7"/>
    <mergeCell ref="X6:X7"/>
    <mergeCell ref="L22:M22"/>
    <mergeCell ref="Y9:Y10"/>
    <mergeCell ref="P22:Q22"/>
    <mergeCell ref="AC6:AD6"/>
    <mergeCell ref="Z6:AA6"/>
    <mergeCell ref="AB6:AB7"/>
    <mergeCell ref="Y11:Y1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W33"/>
  <sheetViews>
    <sheetView zoomScale="89" zoomScaleNormal="8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6" sqref="C16"/>
    </sheetView>
  </sheetViews>
  <sheetFormatPr defaultRowHeight="15.75" x14ac:dyDescent="0.25"/>
  <cols>
    <col min="1" max="2" width="9.140625" style="5"/>
    <col min="3" max="3" width="7.85546875" customWidth="1"/>
    <col min="4" max="4" width="9.140625" style="10" customWidth="1"/>
    <col min="5" max="5" width="14.7109375" customWidth="1"/>
    <col min="6" max="6" width="8.28515625" customWidth="1"/>
    <col min="7" max="7" width="9.85546875" customWidth="1"/>
    <col min="8" max="8" width="14.5703125" customWidth="1"/>
    <col min="9" max="9" width="8.28515625" customWidth="1"/>
    <col min="11" max="11" width="17" customWidth="1"/>
    <col min="12" max="12" width="8.140625" customWidth="1"/>
    <col min="13" max="13" width="11.5703125" customWidth="1"/>
    <col min="14" max="14" width="17" customWidth="1"/>
    <col min="15" max="15" width="8.28515625" customWidth="1"/>
    <col min="17" max="17" width="17" customWidth="1"/>
    <col min="18" max="18" width="8.28515625" customWidth="1"/>
    <col min="20" max="20" width="14.85546875" customWidth="1"/>
    <col min="23" max="23" width="18" bestFit="1" customWidth="1"/>
  </cols>
  <sheetData>
    <row r="1" spans="1:23" x14ac:dyDescent="0.25">
      <c r="C1" s="156" t="s">
        <v>48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7" t="s">
        <v>44</v>
      </c>
      <c r="S1" s="171"/>
      <c r="T1" s="158"/>
    </row>
    <row r="2" spans="1:23" s="3" customFormat="1" x14ac:dyDescent="0.25">
      <c r="A2" s="5"/>
      <c r="B2" s="5"/>
      <c r="C2" s="129">
        <f>Analisa!C2</f>
        <v>5</v>
      </c>
      <c r="D2" s="146"/>
      <c r="E2" s="130"/>
      <c r="F2" s="129">
        <f>Analisa!E2</f>
        <v>11</v>
      </c>
      <c r="G2" s="146"/>
      <c r="H2" s="130"/>
      <c r="I2" s="142">
        <f>Analisa!G2</f>
        <v>18</v>
      </c>
      <c r="J2" s="142"/>
      <c r="K2" s="129"/>
      <c r="L2" s="142">
        <f>Analisa!I2</f>
        <v>25</v>
      </c>
      <c r="M2" s="142"/>
      <c r="N2" s="129"/>
      <c r="O2" s="142">
        <f>Analisa!K2</f>
        <v>0</v>
      </c>
      <c r="P2" s="142"/>
      <c r="Q2" s="129"/>
      <c r="R2" s="137"/>
      <c r="S2" s="172"/>
      <c r="T2" s="138"/>
    </row>
    <row r="3" spans="1:23" s="9" customFormat="1" x14ac:dyDescent="0.25">
      <c r="A3" s="40"/>
      <c r="B3" s="40"/>
      <c r="C3" s="38" t="s">
        <v>1</v>
      </c>
      <c r="D3" s="24" t="s">
        <v>23</v>
      </c>
      <c r="E3" s="38" t="s">
        <v>3</v>
      </c>
      <c r="F3" s="38" t="s">
        <v>1</v>
      </c>
      <c r="G3" s="38" t="s">
        <v>23</v>
      </c>
      <c r="H3" s="38" t="s">
        <v>3</v>
      </c>
      <c r="I3" s="38" t="s">
        <v>1</v>
      </c>
      <c r="J3" s="38" t="s">
        <v>23</v>
      </c>
      <c r="K3" s="37" t="s">
        <v>3</v>
      </c>
      <c r="L3" s="38" t="s">
        <v>1</v>
      </c>
      <c r="M3" s="38" t="s">
        <v>23</v>
      </c>
      <c r="N3" s="37" t="s">
        <v>3</v>
      </c>
      <c r="O3" s="38" t="s">
        <v>1</v>
      </c>
      <c r="P3" s="38" t="s">
        <v>23</v>
      </c>
      <c r="Q3" s="37" t="s">
        <v>3</v>
      </c>
      <c r="R3" s="39" t="s">
        <v>1</v>
      </c>
      <c r="S3" s="39" t="s">
        <v>23</v>
      </c>
      <c r="T3" s="39" t="s">
        <v>3</v>
      </c>
    </row>
    <row r="4" spans="1:23" s="3" customFormat="1" x14ac:dyDescent="0.25">
      <c r="A4" s="129" t="s">
        <v>0</v>
      </c>
      <c r="B4" s="146"/>
      <c r="C4" s="23">
        <f>Analisa!C4</f>
        <v>3563</v>
      </c>
      <c r="D4" s="23">
        <v>24500</v>
      </c>
      <c r="E4" s="27">
        <f>C4*D4</f>
        <v>87293500</v>
      </c>
      <c r="F4" s="23">
        <f>Analisa!E4</f>
        <v>3934.7</v>
      </c>
      <c r="G4" s="23">
        <v>23500</v>
      </c>
      <c r="H4" s="23">
        <f>F4*G4</f>
        <v>92465450</v>
      </c>
      <c r="I4" s="23">
        <f>Analisa!G4</f>
        <v>3200</v>
      </c>
      <c r="J4" s="23">
        <v>22500</v>
      </c>
      <c r="K4" s="23">
        <f>I4*J4</f>
        <v>72000000</v>
      </c>
      <c r="L4" s="102">
        <f>Analisa!I4</f>
        <v>3200</v>
      </c>
      <c r="M4" s="23">
        <v>23500</v>
      </c>
      <c r="N4" s="23">
        <f>L4*M4</f>
        <v>75200000</v>
      </c>
      <c r="O4" s="4">
        <f>Analisa!K4</f>
        <v>0</v>
      </c>
      <c r="P4" s="23">
        <v>23500</v>
      </c>
      <c r="Q4" s="23">
        <f>O4*P4</f>
        <v>0</v>
      </c>
      <c r="R4" s="27">
        <f>C4+F4+I4+L4+O4</f>
        <v>13897.7</v>
      </c>
      <c r="S4" s="27">
        <f>AVERAGE(G4,J4,M4,P4,D4)</f>
        <v>23500</v>
      </c>
      <c r="T4" s="28">
        <f>E4+H4+K4+N4+Q4</f>
        <v>326958950</v>
      </c>
      <c r="U4" s="48">
        <f>T4/T$16%</f>
        <v>62.538209044236893</v>
      </c>
    </row>
    <row r="5" spans="1:23" x14ac:dyDescent="0.25">
      <c r="G5" s="10"/>
      <c r="J5" s="10"/>
      <c r="M5" s="10"/>
      <c r="O5" s="17"/>
      <c r="P5" s="10"/>
      <c r="U5" s="5"/>
    </row>
    <row r="6" spans="1:23" x14ac:dyDescent="0.25">
      <c r="A6" s="5" t="s">
        <v>4</v>
      </c>
      <c r="G6" s="10"/>
      <c r="J6" s="10"/>
      <c r="M6" s="10"/>
      <c r="O6" s="17"/>
      <c r="P6" s="10"/>
      <c r="U6" s="5"/>
    </row>
    <row r="7" spans="1:23" x14ac:dyDescent="0.25">
      <c r="A7" s="7">
        <v>0.45</v>
      </c>
      <c r="B7" s="38" t="s">
        <v>5</v>
      </c>
      <c r="C7" s="1">
        <f>Analisa!C8</f>
        <v>0</v>
      </c>
      <c r="D7" s="13"/>
      <c r="E7" s="1"/>
      <c r="F7" s="1">
        <f>Analisa!E8</f>
        <v>0</v>
      </c>
      <c r="G7" s="13"/>
      <c r="H7" s="15">
        <f t="shared" ref="H7:H14" si="0">F7*G7</f>
        <v>0</v>
      </c>
      <c r="I7" s="1">
        <f>Analisa!G8</f>
        <v>0</v>
      </c>
      <c r="J7" s="13"/>
      <c r="K7" s="34"/>
      <c r="L7" s="34">
        <f>Analisa!I8</f>
        <v>0</v>
      </c>
      <c r="M7" s="13"/>
      <c r="N7" s="34"/>
      <c r="O7" s="4"/>
      <c r="P7" s="13"/>
      <c r="Q7" s="34"/>
      <c r="R7" s="27">
        <f t="shared" ref="R7:R16" si="1">C7+F7+I7+L7+O7</f>
        <v>0</v>
      </c>
      <c r="S7" s="27"/>
      <c r="T7" s="27">
        <f t="shared" ref="T7:T13" si="2">E7+H7+K7+N7+Q7</f>
        <v>0</v>
      </c>
      <c r="U7" s="5"/>
    </row>
    <row r="8" spans="1:23" x14ac:dyDescent="0.25">
      <c r="A8" s="7">
        <v>0.5</v>
      </c>
      <c r="B8" s="38" t="s">
        <v>5</v>
      </c>
      <c r="C8" s="1">
        <f>Analisa!C9</f>
        <v>207</v>
      </c>
      <c r="D8" s="13">
        <v>33000</v>
      </c>
      <c r="E8" s="15">
        <f>C8*D8</f>
        <v>6831000</v>
      </c>
      <c r="F8" s="1">
        <f>Analisa!E9</f>
        <v>200</v>
      </c>
      <c r="G8" s="13">
        <v>32500</v>
      </c>
      <c r="H8" s="15">
        <f t="shared" si="0"/>
        <v>6500000</v>
      </c>
      <c r="I8" s="1">
        <f>Analisa!G9</f>
        <v>200</v>
      </c>
      <c r="J8" s="13">
        <v>32000</v>
      </c>
      <c r="K8" s="15">
        <f t="shared" ref="K8:K15" si="3">I8*J8</f>
        <v>6400000</v>
      </c>
      <c r="L8" s="34">
        <f>Analisa!I9</f>
        <v>200</v>
      </c>
      <c r="M8" s="13">
        <v>32500</v>
      </c>
      <c r="N8" s="15">
        <f t="shared" ref="N8:N15" si="4">L8*M8</f>
        <v>6500000</v>
      </c>
      <c r="O8" s="4">
        <f>Analisa!K9</f>
        <v>0</v>
      </c>
      <c r="P8" s="13">
        <v>32500</v>
      </c>
      <c r="Q8" s="15">
        <f t="shared" ref="Q8:Q15" si="5">O8*P8</f>
        <v>0</v>
      </c>
      <c r="R8" s="27">
        <f t="shared" si="1"/>
        <v>807</v>
      </c>
      <c r="S8" s="13">
        <v>32500</v>
      </c>
      <c r="T8" s="27">
        <f t="shared" si="2"/>
        <v>26231000</v>
      </c>
      <c r="U8" s="5"/>
    </row>
    <row r="9" spans="1:23" x14ac:dyDescent="0.25">
      <c r="A9" s="38"/>
      <c r="B9" s="38" t="s">
        <v>6</v>
      </c>
      <c r="C9" s="1">
        <f>Analisa!C10</f>
        <v>0</v>
      </c>
      <c r="D9" s="13">
        <v>33000</v>
      </c>
      <c r="E9" s="15">
        <f t="shared" ref="E9:E14" si="6">C9*D9</f>
        <v>0</v>
      </c>
      <c r="F9" s="1">
        <f>Analisa!E10</f>
        <v>0</v>
      </c>
      <c r="G9" s="13">
        <v>32500</v>
      </c>
      <c r="H9" s="15">
        <f t="shared" si="0"/>
        <v>0</v>
      </c>
      <c r="I9" s="1">
        <f>Analisa!G10</f>
        <v>0</v>
      </c>
      <c r="J9" s="13">
        <v>32000</v>
      </c>
      <c r="K9" s="15">
        <f t="shared" si="3"/>
        <v>0</v>
      </c>
      <c r="L9" s="34">
        <f>Analisa!I10</f>
        <v>0</v>
      </c>
      <c r="M9" s="13">
        <v>32500</v>
      </c>
      <c r="N9" s="15">
        <f t="shared" si="4"/>
        <v>0</v>
      </c>
      <c r="O9" s="4">
        <f>Analisa!K10</f>
        <v>0</v>
      </c>
      <c r="P9" s="13">
        <v>32500</v>
      </c>
      <c r="Q9" s="15">
        <f t="shared" si="5"/>
        <v>0</v>
      </c>
      <c r="R9" s="27">
        <f t="shared" si="1"/>
        <v>0</v>
      </c>
      <c r="S9" s="13">
        <v>32500</v>
      </c>
      <c r="T9" s="27">
        <f t="shared" si="2"/>
        <v>0</v>
      </c>
      <c r="U9" s="5"/>
    </row>
    <row r="10" spans="1:23" x14ac:dyDescent="0.25">
      <c r="A10" s="7">
        <v>0.55000000000000004</v>
      </c>
      <c r="B10" s="38" t="s">
        <v>7</v>
      </c>
      <c r="C10" s="1">
        <f>Analisa!C11</f>
        <v>964</v>
      </c>
      <c r="D10" s="13">
        <v>30500</v>
      </c>
      <c r="E10" s="15">
        <f t="shared" si="6"/>
        <v>29402000</v>
      </c>
      <c r="F10" s="13">
        <f>Analisa!E11</f>
        <v>1500</v>
      </c>
      <c r="G10" s="13">
        <v>30000</v>
      </c>
      <c r="H10" s="15">
        <f t="shared" si="0"/>
        <v>45000000</v>
      </c>
      <c r="I10" s="1">
        <f>Analisa!G11</f>
        <v>1500</v>
      </c>
      <c r="J10" s="13">
        <v>29500</v>
      </c>
      <c r="K10" s="15">
        <f t="shared" si="3"/>
        <v>44250000</v>
      </c>
      <c r="L10" s="34">
        <f>Analisa!I11</f>
        <v>1500</v>
      </c>
      <c r="M10" s="13">
        <v>30000</v>
      </c>
      <c r="N10" s="15">
        <f t="shared" si="4"/>
        <v>45000000</v>
      </c>
      <c r="O10" s="4">
        <f>Analisa!K11</f>
        <v>0</v>
      </c>
      <c r="P10" s="13">
        <v>30000</v>
      </c>
      <c r="Q10" s="15">
        <f t="shared" si="5"/>
        <v>0</v>
      </c>
      <c r="R10" s="27">
        <f t="shared" si="1"/>
        <v>5464</v>
      </c>
      <c r="S10" s="13">
        <v>30000</v>
      </c>
      <c r="T10" s="27">
        <f t="shared" si="2"/>
        <v>163652000</v>
      </c>
      <c r="U10" s="5"/>
    </row>
    <row r="11" spans="1:23" x14ac:dyDescent="0.25">
      <c r="A11" s="38"/>
      <c r="B11" s="38" t="s">
        <v>5</v>
      </c>
      <c r="C11" s="1">
        <f>Analisa!C12</f>
        <v>843</v>
      </c>
      <c r="D11" s="13">
        <v>30500</v>
      </c>
      <c r="E11" s="15">
        <f t="shared" si="6"/>
        <v>25711500</v>
      </c>
      <c r="F11" s="1">
        <f>Analisa!E12</f>
        <v>0</v>
      </c>
      <c r="G11" s="13">
        <v>30000</v>
      </c>
      <c r="H11" s="15">
        <f t="shared" si="0"/>
        <v>0</v>
      </c>
      <c r="I11" s="1">
        <f>Analisa!G12</f>
        <v>0</v>
      </c>
      <c r="J11" s="13">
        <v>29500</v>
      </c>
      <c r="K11" s="15">
        <f t="shared" si="3"/>
        <v>0</v>
      </c>
      <c r="L11" s="34">
        <f>Analisa!I12</f>
        <v>0</v>
      </c>
      <c r="M11" s="13">
        <v>30000</v>
      </c>
      <c r="N11" s="15">
        <f t="shared" si="4"/>
        <v>0</v>
      </c>
      <c r="O11" s="4">
        <f>Analisa!K12</f>
        <v>0</v>
      </c>
      <c r="P11" s="13">
        <v>30000</v>
      </c>
      <c r="Q11" s="15">
        <f t="shared" si="5"/>
        <v>0</v>
      </c>
      <c r="R11" s="27">
        <f t="shared" si="1"/>
        <v>843</v>
      </c>
      <c r="S11" s="13">
        <v>30000</v>
      </c>
      <c r="T11" s="27">
        <f t="shared" si="2"/>
        <v>25711500</v>
      </c>
      <c r="U11" s="5"/>
    </row>
    <row r="12" spans="1:23" x14ac:dyDescent="0.25">
      <c r="A12" s="38"/>
      <c r="B12" s="38" t="s">
        <v>6</v>
      </c>
      <c r="C12" s="1">
        <f>Analisa!C13</f>
        <v>31</v>
      </c>
      <c r="D12" s="13">
        <v>30500</v>
      </c>
      <c r="E12" s="15">
        <f t="shared" si="6"/>
        <v>945500</v>
      </c>
      <c r="F12" s="1">
        <f>Analisa!E13</f>
        <v>0</v>
      </c>
      <c r="G12" s="13">
        <v>30000</v>
      </c>
      <c r="H12" s="15">
        <f t="shared" si="0"/>
        <v>0</v>
      </c>
      <c r="I12" s="60">
        <f>Analisa!G13</f>
        <v>0</v>
      </c>
      <c r="J12" s="13">
        <v>29500</v>
      </c>
      <c r="K12" s="15">
        <f t="shared" si="3"/>
        <v>0</v>
      </c>
      <c r="L12" s="34">
        <f>Analisa!I13</f>
        <v>0</v>
      </c>
      <c r="M12" s="13">
        <v>30000</v>
      </c>
      <c r="N12" s="15">
        <f t="shared" si="4"/>
        <v>0</v>
      </c>
      <c r="O12" s="4">
        <f>Analisa!K13</f>
        <v>0</v>
      </c>
      <c r="P12" s="13">
        <v>30000</v>
      </c>
      <c r="Q12" s="15">
        <f t="shared" si="5"/>
        <v>0</v>
      </c>
      <c r="R12" s="27">
        <f t="shared" si="1"/>
        <v>31</v>
      </c>
      <c r="S12" s="13">
        <v>30000</v>
      </c>
      <c r="T12" s="27">
        <f t="shared" si="2"/>
        <v>945500</v>
      </c>
      <c r="U12" s="5"/>
    </row>
    <row r="13" spans="1:23" x14ac:dyDescent="0.25">
      <c r="A13" s="38"/>
      <c r="B13" s="38" t="s">
        <v>8</v>
      </c>
      <c r="C13" s="1">
        <f>Analisa!C14</f>
        <v>0</v>
      </c>
      <c r="D13" s="13">
        <v>30500</v>
      </c>
      <c r="E13" s="15">
        <f t="shared" si="6"/>
        <v>0</v>
      </c>
      <c r="F13" s="1">
        <f>Analisa!E14</f>
        <v>0</v>
      </c>
      <c r="G13" s="13">
        <v>30000</v>
      </c>
      <c r="H13" s="15">
        <f t="shared" si="0"/>
        <v>0</v>
      </c>
      <c r="I13" s="1">
        <f>Analisa!G14</f>
        <v>0</v>
      </c>
      <c r="J13" s="13">
        <v>29500</v>
      </c>
      <c r="K13" s="15">
        <f t="shared" si="3"/>
        <v>0</v>
      </c>
      <c r="L13" s="34">
        <f>Analisa!I14</f>
        <v>0</v>
      </c>
      <c r="M13" s="13">
        <v>30000</v>
      </c>
      <c r="N13" s="15">
        <f t="shared" si="4"/>
        <v>0</v>
      </c>
      <c r="O13" s="4">
        <f>Analisa!K14</f>
        <v>0</v>
      </c>
      <c r="P13" s="13">
        <v>30000</v>
      </c>
      <c r="Q13" s="15">
        <f t="shared" si="5"/>
        <v>0</v>
      </c>
      <c r="R13" s="27">
        <f t="shared" si="1"/>
        <v>0</v>
      </c>
      <c r="S13" s="13">
        <v>30000</v>
      </c>
      <c r="T13" s="27">
        <f t="shared" si="2"/>
        <v>0</v>
      </c>
      <c r="U13" s="5"/>
    </row>
    <row r="14" spans="1:23" x14ac:dyDescent="0.25">
      <c r="A14" s="129" t="s">
        <v>9</v>
      </c>
      <c r="B14" s="130"/>
      <c r="C14" s="1">
        <f>Analisa!C15</f>
        <v>1252.7</v>
      </c>
      <c r="D14" s="44">
        <v>61000</v>
      </c>
      <c r="E14" s="15">
        <f t="shared" si="6"/>
        <v>76414700</v>
      </c>
      <c r="F14" s="13">
        <f>Analisa!E15</f>
        <v>1570</v>
      </c>
      <c r="G14" s="44">
        <v>60000</v>
      </c>
      <c r="H14" s="15">
        <f t="shared" si="0"/>
        <v>94200000</v>
      </c>
      <c r="I14" s="1">
        <f>Analisa!G15</f>
        <v>1140</v>
      </c>
      <c r="J14" s="44">
        <v>59000</v>
      </c>
      <c r="K14" s="15">
        <f t="shared" si="3"/>
        <v>67260000</v>
      </c>
      <c r="L14" s="34">
        <f>Analisa!I15</f>
        <v>1140</v>
      </c>
      <c r="M14" s="44">
        <v>60000</v>
      </c>
      <c r="N14" s="15">
        <f t="shared" si="4"/>
        <v>68400000</v>
      </c>
      <c r="O14" s="4">
        <f>Analisa!K15</f>
        <v>0</v>
      </c>
      <c r="P14" s="44">
        <v>60000</v>
      </c>
      <c r="Q14" s="15">
        <f t="shared" si="5"/>
        <v>0</v>
      </c>
      <c r="R14" s="27">
        <f t="shared" si="1"/>
        <v>5102.7</v>
      </c>
      <c r="S14" s="44">
        <v>60000</v>
      </c>
      <c r="T14" s="27">
        <f>E14+H14+K14+N14+Q14</f>
        <v>306274700</v>
      </c>
      <c r="U14" s="5"/>
    </row>
    <row r="15" spans="1:23" x14ac:dyDescent="0.25">
      <c r="A15" s="142" t="s">
        <v>47</v>
      </c>
      <c r="B15" s="142"/>
      <c r="C15" s="34">
        <f>Analisa!C16</f>
        <v>0</v>
      </c>
      <c r="D15" s="44">
        <v>61000</v>
      </c>
      <c r="E15" s="15">
        <f t="shared" ref="E15" si="7">C15*D15</f>
        <v>0</v>
      </c>
      <c r="F15" s="34">
        <f>Analisa!E16</f>
        <v>0</v>
      </c>
      <c r="G15" s="44">
        <v>60000</v>
      </c>
      <c r="H15" s="15">
        <f t="shared" ref="H15" si="8">F15*G15</f>
        <v>0</v>
      </c>
      <c r="I15" s="1">
        <f>Analisa!G16</f>
        <v>0</v>
      </c>
      <c r="J15" s="44">
        <v>59000</v>
      </c>
      <c r="K15" s="15">
        <f t="shared" si="3"/>
        <v>0</v>
      </c>
      <c r="L15" s="34">
        <f>Analisa!I16</f>
        <v>0</v>
      </c>
      <c r="M15" s="44">
        <v>60000</v>
      </c>
      <c r="N15" s="15">
        <f t="shared" si="4"/>
        <v>0</v>
      </c>
      <c r="O15" s="4">
        <f>Analisa!K16</f>
        <v>0</v>
      </c>
      <c r="P15" s="44">
        <v>60000</v>
      </c>
      <c r="Q15" s="15">
        <f t="shared" si="5"/>
        <v>0</v>
      </c>
      <c r="R15" s="27">
        <f t="shared" ref="R15" si="9">C15+F15+I15+L15+O15</f>
        <v>0</v>
      </c>
      <c r="S15" s="44">
        <v>60000</v>
      </c>
      <c r="T15" s="27">
        <f t="shared" ref="T15" si="10">E15+H15+K15+N15+Q15</f>
        <v>0</v>
      </c>
      <c r="U15" s="5"/>
    </row>
    <row r="16" spans="1:23" x14ac:dyDescent="0.25">
      <c r="A16" s="179"/>
      <c r="B16" s="180"/>
      <c r="C16" s="50">
        <f>SUM(C7:C14)-C15</f>
        <v>3297.7</v>
      </c>
      <c r="D16" s="52"/>
      <c r="E16" s="51">
        <f>SUM(E7:E14)-E15</f>
        <v>139304700</v>
      </c>
      <c r="F16" s="50">
        <f>SUM(F7:F14)-F15</f>
        <v>3270</v>
      </c>
      <c r="G16" s="52" t="s">
        <v>26</v>
      </c>
      <c r="H16" s="51">
        <f>SUM(H7:H14)-H15</f>
        <v>145700000</v>
      </c>
      <c r="I16" s="50">
        <f>SUM(I7:I14)-I15</f>
        <v>2840</v>
      </c>
      <c r="J16" s="52"/>
      <c r="K16" s="51">
        <f>SUM(K7:K14)-K15</f>
        <v>117910000</v>
      </c>
      <c r="L16" s="50">
        <f>SUM(L7:L14)-L15</f>
        <v>2840</v>
      </c>
      <c r="M16" s="52"/>
      <c r="N16" s="51">
        <f>SUM(N7:N14)-N15</f>
        <v>119900000</v>
      </c>
      <c r="O16" s="50">
        <f>SUM(O7:O14)-O15</f>
        <v>0</v>
      </c>
      <c r="P16" s="52"/>
      <c r="Q16" s="51">
        <f>SUM(Q7:Q14)-Q15</f>
        <v>0</v>
      </c>
      <c r="R16" s="27">
        <f t="shared" si="1"/>
        <v>12247.7</v>
      </c>
      <c r="S16" s="1"/>
      <c r="T16" s="59">
        <f>SUM(T7:T14)-T15</f>
        <v>522814700</v>
      </c>
      <c r="U16" s="47">
        <f>U4+U23</f>
        <v>100</v>
      </c>
      <c r="W16" s="10"/>
    </row>
    <row r="17" spans="1:23" x14ac:dyDescent="0.25">
      <c r="A17" s="5" t="s">
        <v>10</v>
      </c>
      <c r="O17" s="35"/>
      <c r="T17" s="33">
        <f>E16+H16+K16+N16+Q16</f>
        <v>522814700</v>
      </c>
      <c r="U17" s="5"/>
      <c r="W17" s="115"/>
    </row>
    <row r="18" spans="1:23" x14ac:dyDescent="0.25">
      <c r="A18" s="142" t="s">
        <v>12</v>
      </c>
      <c r="B18" s="142"/>
      <c r="C18" s="1">
        <f>Analisa!C20</f>
        <v>206</v>
      </c>
      <c r="D18" s="13">
        <v>5500</v>
      </c>
      <c r="E18" s="15">
        <f t="shared" ref="E18:E20" si="11">C18*D18</f>
        <v>1133000</v>
      </c>
      <c r="F18" s="1">
        <f>Analisa!E20</f>
        <v>0</v>
      </c>
      <c r="G18" s="13">
        <v>5500</v>
      </c>
      <c r="H18" s="15">
        <f t="shared" ref="H18:H20" si="12">F18*G18</f>
        <v>0</v>
      </c>
      <c r="I18" s="1">
        <f>Analisa!G20</f>
        <v>0</v>
      </c>
      <c r="J18" s="13">
        <v>5500</v>
      </c>
      <c r="K18" s="15">
        <f t="shared" ref="K18:K20" si="13">I18*J18</f>
        <v>0</v>
      </c>
      <c r="L18" s="1">
        <f>Analisa!I20</f>
        <v>0</v>
      </c>
      <c r="M18" s="13">
        <v>5500</v>
      </c>
      <c r="N18" s="15">
        <f t="shared" ref="N18:N20" si="14">L18*M18</f>
        <v>0</v>
      </c>
      <c r="O18" s="20"/>
      <c r="P18" s="13">
        <v>5500</v>
      </c>
      <c r="Q18" s="15">
        <f t="shared" ref="Q18:Q20" si="15">O18*P18</f>
        <v>0</v>
      </c>
      <c r="R18" s="27">
        <f t="shared" ref="R18:R20" si="16">C18+F18+I18+L18+O18</f>
        <v>206</v>
      </c>
      <c r="S18" s="1"/>
      <c r="T18" s="27">
        <f t="shared" ref="T18:T20" si="17">E18+H18+K18+N18+Q18</f>
        <v>1133000</v>
      </c>
      <c r="U18" s="5"/>
    </row>
    <row r="19" spans="1:23" x14ac:dyDescent="0.25">
      <c r="A19" s="142" t="s">
        <v>13</v>
      </c>
      <c r="B19" s="142"/>
      <c r="C19" s="1">
        <f>Analisa!C21</f>
        <v>112</v>
      </c>
      <c r="D19" s="13">
        <v>7000</v>
      </c>
      <c r="E19" s="15">
        <f t="shared" si="11"/>
        <v>784000</v>
      </c>
      <c r="F19" s="1">
        <f>Analisa!E21</f>
        <v>0</v>
      </c>
      <c r="G19" s="13">
        <v>8000</v>
      </c>
      <c r="H19" s="15">
        <f t="shared" si="12"/>
        <v>0</v>
      </c>
      <c r="I19" s="1">
        <f>Analisa!G21</f>
        <v>0</v>
      </c>
      <c r="J19" s="13">
        <v>8000</v>
      </c>
      <c r="K19" s="15">
        <f t="shared" si="13"/>
        <v>0</v>
      </c>
      <c r="L19" s="34">
        <f>Analisa!I21</f>
        <v>0</v>
      </c>
      <c r="M19" s="13">
        <v>8000</v>
      </c>
      <c r="N19" s="15">
        <f t="shared" si="14"/>
        <v>0</v>
      </c>
      <c r="O19" s="1"/>
      <c r="P19" s="13">
        <v>8000</v>
      </c>
      <c r="Q19" s="15">
        <f t="shared" si="15"/>
        <v>0</v>
      </c>
      <c r="R19" s="27">
        <f t="shared" si="16"/>
        <v>112</v>
      </c>
      <c r="S19" s="1"/>
      <c r="T19" s="27">
        <f t="shared" si="17"/>
        <v>784000</v>
      </c>
      <c r="U19" s="5"/>
    </row>
    <row r="20" spans="1:23" x14ac:dyDescent="0.25">
      <c r="A20" s="142" t="s">
        <v>14</v>
      </c>
      <c r="B20" s="142"/>
      <c r="C20" s="1">
        <f>Analisa!C22</f>
        <v>128</v>
      </c>
      <c r="D20" s="44">
        <v>9000</v>
      </c>
      <c r="E20" s="15">
        <f t="shared" si="11"/>
        <v>1152000</v>
      </c>
      <c r="F20" s="1">
        <f>Analisa!E22</f>
        <v>0</v>
      </c>
      <c r="G20" s="13">
        <v>9000</v>
      </c>
      <c r="H20" s="15">
        <f t="shared" si="12"/>
        <v>0</v>
      </c>
      <c r="I20" s="1">
        <f>Analisa!G22</f>
        <v>0</v>
      </c>
      <c r="J20" s="13">
        <v>9000</v>
      </c>
      <c r="K20" s="15">
        <f t="shared" si="13"/>
        <v>0</v>
      </c>
      <c r="L20" s="34">
        <f>Analisa!I22</f>
        <v>0</v>
      </c>
      <c r="M20" s="13">
        <v>9000</v>
      </c>
      <c r="N20" s="15">
        <f t="shared" si="14"/>
        <v>0</v>
      </c>
      <c r="O20" s="1"/>
      <c r="P20" s="13">
        <v>9000</v>
      </c>
      <c r="Q20" s="15">
        <f t="shared" si="15"/>
        <v>0</v>
      </c>
      <c r="R20" s="27">
        <f t="shared" si="16"/>
        <v>128</v>
      </c>
      <c r="S20" s="1"/>
      <c r="T20" s="27">
        <f t="shared" si="17"/>
        <v>1152000</v>
      </c>
      <c r="U20" s="5"/>
    </row>
    <row r="21" spans="1:23" x14ac:dyDescent="0.25">
      <c r="A21" s="173" t="s">
        <v>3</v>
      </c>
      <c r="B21" s="174"/>
      <c r="D21" s="46"/>
      <c r="E21" s="45">
        <f>SUM(E18:E20)</f>
        <v>3069000</v>
      </c>
      <c r="H21" s="26">
        <f>SUM(H18:H20)</f>
        <v>0</v>
      </c>
      <c r="K21" s="26">
        <f>SUM(K18:K20)</f>
        <v>0</v>
      </c>
      <c r="N21" s="26">
        <f>SUM(N18:N20)</f>
        <v>0</v>
      </c>
      <c r="Q21" s="26">
        <f>SUM(Q18:Q20)</f>
        <v>0</v>
      </c>
      <c r="T21" s="25">
        <f>SUM(E21:Q21)</f>
        <v>3069000</v>
      </c>
      <c r="U21" s="5"/>
    </row>
    <row r="22" spans="1:23" x14ac:dyDescent="0.25">
      <c r="A22" s="5" t="s">
        <v>47</v>
      </c>
      <c r="D22" s="41"/>
      <c r="E22" s="42"/>
      <c r="O22" s="43"/>
      <c r="T22" s="33"/>
      <c r="U22" s="5"/>
      <c r="V22" t="s">
        <v>26</v>
      </c>
    </row>
    <row r="23" spans="1:23" x14ac:dyDescent="0.25">
      <c r="A23" s="128" t="s">
        <v>33</v>
      </c>
      <c r="B23" s="128"/>
      <c r="C23" s="178"/>
      <c r="D23" s="177"/>
      <c r="E23" s="25">
        <f>E16-E4</f>
        <v>52011200</v>
      </c>
      <c r="F23" s="175"/>
      <c r="G23" s="175"/>
      <c r="H23" s="25">
        <f>H16-H4</f>
        <v>53234550</v>
      </c>
      <c r="I23" s="176"/>
      <c r="J23" s="177"/>
      <c r="K23" s="25">
        <f>K16-K4</f>
        <v>45910000</v>
      </c>
      <c r="L23" s="43"/>
      <c r="M23" s="43"/>
      <c r="N23" s="25">
        <f>N16-N4</f>
        <v>44700000</v>
      </c>
      <c r="O23" s="177"/>
      <c r="P23" s="177"/>
      <c r="Q23" s="25">
        <f>Q16-Q4</f>
        <v>0</v>
      </c>
      <c r="R23" s="176"/>
      <c r="S23" s="177"/>
      <c r="T23" s="28">
        <f>E23+H23+K23+N23+Q23</f>
        <v>195855750</v>
      </c>
      <c r="U23" s="48">
        <f>T23/T$16%</f>
        <v>37.461790955763107</v>
      </c>
    </row>
    <row r="24" spans="1:23" x14ac:dyDescent="0.25">
      <c r="A24" s="128" t="s">
        <v>26</v>
      </c>
      <c r="B24" s="128"/>
      <c r="C24" s="178"/>
      <c r="D24" s="177"/>
      <c r="E24" s="58">
        <f>E23/C4</f>
        <v>14597.586303676677</v>
      </c>
      <c r="F24" s="176"/>
      <c r="G24" s="177"/>
      <c r="H24" s="58">
        <f>H23/F4</f>
        <v>13529.50669682568</v>
      </c>
      <c r="I24" s="177"/>
      <c r="J24" s="177"/>
      <c r="K24" s="58">
        <f>K23/I4</f>
        <v>14346.875</v>
      </c>
      <c r="L24" s="57"/>
      <c r="M24" s="57"/>
      <c r="N24" s="58">
        <f>N23/L4</f>
        <v>13968.75</v>
      </c>
      <c r="O24" s="177"/>
      <c r="P24" s="177"/>
      <c r="Q24" s="58" t="e">
        <f>Q23/O4</f>
        <v>#DIV/0!</v>
      </c>
      <c r="R24" s="176"/>
      <c r="S24" s="177"/>
      <c r="T24" s="58">
        <f>T23/R4</f>
        <v>14092.673607863171</v>
      </c>
      <c r="U24" s="17"/>
    </row>
    <row r="25" spans="1:23" s="92" customFormat="1" x14ac:dyDescent="0.25">
      <c r="A25" s="89"/>
      <c r="B25" s="89"/>
      <c r="C25" s="90"/>
      <c r="D25" s="91"/>
      <c r="E25" s="93">
        <f>Analisa!C29</f>
        <v>61.277013752455794</v>
      </c>
      <c r="H25" s="93">
        <f>Analisa!E29</f>
        <v>59.597936310265077</v>
      </c>
      <c r="K25" s="94">
        <f>Analisa!G29</f>
        <v>59.84375</v>
      </c>
      <c r="N25" s="94">
        <f>Analisa!I29</f>
        <v>59.84375</v>
      </c>
      <c r="Q25" s="94" t="e">
        <f>Analisa!K29</f>
        <v>#DIV/0!</v>
      </c>
      <c r="T25" s="94">
        <f>Analisa!M29</f>
        <v>60.141606165048884</v>
      </c>
    </row>
    <row r="26" spans="1:23" x14ac:dyDescent="0.25">
      <c r="E26" s="10"/>
      <c r="H26" s="110"/>
      <c r="T26" s="33"/>
    </row>
    <row r="27" spans="1:23" x14ac:dyDescent="0.25">
      <c r="E27" s="10"/>
      <c r="H27" s="10">
        <v>46390000</v>
      </c>
    </row>
    <row r="28" spans="1:23" x14ac:dyDescent="0.25">
      <c r="E28" s="33"/>
      <c r="H28" s="10">
        <v>13644.117647058823</v>
      </c>
    </row>
    <row r="29" spans="1:23" x14ac:dyDescent="0.25">
      <c r="E29" s="10"/>
      <c r="F29" s="10"/>
      <c r="G29" s="10"/>
      <c r="H29" s="10">
        <f>H27-H23</f>
        <v>-6844550</v>
      </c>
    </row>
    <row r="30" spans="1:23" x14ac:dyDescent="0.25">
      <c r="E30" s="10"/>
      <c r="H30" s="124">
        <f>H28-H24</f>
        <v>114.61095023314374</v>
      </c>
    </row>
    <row r="31" spans="1:23" x14ac:dyDescent="0.25">
      <c r="H31" s="33"/>
    </row>
    <row r="32" spans="1:23" x14ac:dyDescent="0.25">
      <c r="E32" s="33"/>
    </row>
    <row r="33" spans="5:5" x14ac:dyDescent="0.25">
      <c r="E33" s="33"/>
    </row>
  </sheetData>
  <mergeCells count="27">
    <mergeCell ref="A14:B14"/>
    <mergeCell ref="A18:B18"/>
    <mergeCell ref="A19:B19"/>
    <mergeCell ref="A20:B20"/>
    <mergeCell ref="A15:B15"/>
    <mergeCell ref="A16:B16"/>
    <mergeCell ref="C2:E2"/>
    <mergeCell ref="F2:H2"/>
    <mergeCell ref="I2:K2"/>
    <mergeCell ref="O2:Q2"/>
    <mergeCell ref="A4:B4"/>
    <mergeCell ref="C1:Q1"/>
    <mergeCell ref="L2:N2"/>
    <mergeCell ref="R1:T2"/>
    <mergeCell ref="A23:B23"/>
    <mergeCell ref="A24:B24"/>
    <mergeCell ref="A21:B21"/>
    <mergeCell ref="F23:G23"/>
    <mergeCell ref="F24:G24"/>
    <mergeCell ref="I23:J23"/>
    <mergeCell ref="I24:J24"/>
    <mergeCell ref="O23:P23"/>
    <mergeCell ref="O24:P24"/>
    <mergeCell ref="R23:S23"/>
    <mergeCell ref="R24:S24"/>
    <mergeCell ref="C23:D23"/>
    <mergeCell ref="C24:D24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1"/>
  <sheetViews>
    <sheetView workbookViewId="0">
      <selection activeCell="C8" sqref="C8"/>
    </sheetView>
  </sheetViews>
  <sheetFormatPr defaultRowHeight="15" x14ac:dyDescent="0.25"/>
  <cols>
    <col min="1" max="1" width="6.7109375" customWidth="1"/>
    <col min="2" max="2" width="14.5703125" customWidth="1"/>
    <col min="3" max="3" width="9.140625" style="10" customWidth="1"/>
  </cols>
  <sheetData>
    <row r="1" spans="1:3" ht="15.75" x14ac:dyDescent="0.25">
      <c r="A1" s="5" t="s">
        <v>24</v>
      </c>
    </row>
    <row r="2" spans="1:3" s="9" customFormat="1" ht="30" x14ac:dyDescent="0.25">
      <c r="A2" s="11" t="s">
        <v>16</v>
      </c>
      <c r="B2" s="11" t="s">
        <v>11</v>
      </c>
      <c r="C2" s="12" t="s">
        <v>20</v>
      </c>
    </row>
    <row r="3" spans="1:3" x14ac:dyDescent="0.25">
      <c r="A3" s="2">
        <v>1</v>
      </c>
      <c r="B3" s="1" t="s">
        <v>17</v>
      </c>
      <c r="C3" s="13">
        <v>5160</v>
      </c>
    </row>
    <row r="4" spans="1:3" x14ac:dyDescent="0.25">
      <c r="A4" s="2">
        <v>2</v>
      </c>
      <c r="B4" s="1" t="s">
        <v>18</v>
      </c>
      <c r="C4" s="13">
        <f>(50000/1000)*8</f>
        <v>400</v>
      </c>
    </row>
    <row r="5" spans="1:3" x14ac:dyDescent="0.25">
      <c r="A5" s="2">
        <v>3</v>
      </c>
      <c r="B5" s="1" t="s">
        <v>19</v>
      </c>
      <c r="C5" s="13">
        <f>(50000/1000)*17</f>
        <v>850</v>
      </c>
    </row>
    <row r="6" spans="1:3" x14ac:dyDescent="0.25">
      <c r="A6" s="2">
        <v>5</v>
      </c>
      <c r="B6" s="1" t="s">
        <v>21</v>
      </c>
      <c r="C6" s="13">
        <v>35000</v>
      </c>
    </row>
    <row r="7" spans="1:3" x14ac:dyDescent="0.25">
      <c r="A7" s="2">
        <v>6</v>
      </c>
      <c r="B7" s="1" t="s">
        <v>22</v>
      </c>
      <c r="C7" s="13">
        <v>42000</v>
      </c>
    </row>
    <row r="8" spans="1:3" x14ac:dyDescent="0.25">
      <c r="A8" s="1"/>
      <c r="B8" s="1"/>
      <c r="C8" s="13"/>
    </row>
    <row r="9" spans="1:3" x14ac:dyDescent="0.25">
      <c r="A9" s="1"/>
      <c r="B9" s="1"/>
      <c r="C9" s="13"/>
    </row>
    <row r="10" spans="1:3" x14ac:dyDescent="0.25">
      <c r="A10" s="1"/>
      <c r="B10" s="1"/>
      <c r="C10" s="13"/>
    </row>
    <row r="11" spans="1:3" x14ac:dyDescent="0.25">
      <c r="A11" s="1"/>
      <c r="B11" s="1"/>
      <c r="C1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5" zoomScaleNormal="115" workbookViewId="0">
      <selection activeCell="C6" sqref="C6"/>
    </sheetView>
  </sheetViews>
  <sheetFormatPr defaultRowHeight="15" x14ac:dyDescent="0.25"/>
  <cols>
    <col min="1" max="1" width="6.28515625" style="103" customWidth="1"/>
    <col min="2" max="2" width="15.28515625" customWidth="1"/>
    <col min="3" max="3" width="15" customWidth="1"/>
    <col min="4" max="4" width="7.5703125" customWidth="1"/>
    <col min="5" max="5" width="7.28515625" customWidth="1"/>
    <col min="6" max="6" width="17.85546875" bestFit="1" customWidth="1"/>
  </cols>
  <sheetData>
    <row r="1" spans="1:6" s="9" customFormat="1" x14ac:dyDescent="0.25">
      <c r="A1" s="39" t="s">
        <v>16</v>
      </c>
      <c r="B1" s="39" t="s">
        <v>54</v>
      </c>
      <c r="C1" s="39" t="s">
        <v>3</v>
      </c>
      <c r="D1" s="39" t="s">
        <v>15</v>
      </c>
    </row>
    <row r="2" spans="1:6" x14ac:dyDescent="0.25">
      <c r="A2" s="2">
        <v>1</v>
      </c>
      <c r="B2" s="1" t="s">
        <v>55</v>
      </c>
      <c r="C2" s="13">
        <f>Margin!T16</f>
        <v>522814700</v>
      </c>
      <c r="D2" s="1"/>
      <c r="E2" s="107"/>
      <c r="F2" s="107"/>
    </row>
    <row r="3" spans="1:6" x14ac:dyDescent="0.25">
      <c r="A3" s="2">
        <v>2</v>
      </c>
      <c r="B3" s="1" t="s">
        <v>0</v>
      </c>
      <c r="C3" s="13">
        <f>Margin!T4</f>
        <v>326958950</v>
      </c>
      <c r="D3" s="21">
        <f>C3/C2%</f>
        <v>62.538209044236893</v>
      </c>
      <c r="E3" s="107"/>
      <c r="F3" s="107"/>
    </row>
    <row r="4" spans="1:6" x14ac:dyDescent="0.25">
      <c r="A4" s="2">
        <v>3</v>
      </c>
      <c r="B4" s="1" t="s">
        <v>33</v>
      </c>
      <c r="C4" s="13">
        <f>Margin!T23</f>
        <v>195855750</v>
      </c>
      <c r="D4" s="21">
        <f>C4/C$2%</f>
        <v>37.461790955763107</v>
      </c>
      <c r="E4" s="107"/>
      <c r="F4" s="107"/>
    </row>
    <row r="5" spans="1:6" x14ac:dyDescent="0.25">
      <c r="A5" s="2">
        <v>4</v>
      </c>
      <c r="B5" s="1" t="s">
        <v>36</v>
      </c>
      <c r="C5" s="13">
        <f>Cost!X22</f>
        <v>52998520.5</v>
      </c>
      <c r="D5" s="21">
        <f t="shared" ref="D5:D7" si="0">C5/C$2%</f>
        <v>10.137151939300866</v>
      </c>
      <c r="E5" s="109">
        <f>C5/C$2%</f>
        <v>10.137151939300866</v>
      </c>
      <c r="F5" s="107"/>
    </row>
    <row r="6" spans="1:6" x14ac:dyDescent="0.25">
      <c r="A6" s="2">
        <v>5</v>
      </c>
      <c r="B6" s="1" t="s">
        <v>56</v>
      </c>
      <c r="C6" s="13">
        <f>[1]Payroll!$L$38</f>
        <v>59967380.952380948</v>
      </c>
      <c r="D6" s="21">
        <f t="shared" si="0"/>
        <v>11.470102304388332</v>
      </c>
      <c r="E6" s="109">
        <f t="shared" ref="E6:E7" si="1">C6/C$2%</f>
        <v>11.470102304388332</v>
      </c>
      <c r="F6" s="107"/>
    </row>
    <row r="7" spans="1:6" x14ac:dyDescent="0.25">
      <c r="A7" s="2">
        <v>6</v>
      </c>
      <c r="B7" s="1" t="s">
        <v>57</v>
      </c>
      <c r="C7" s="13">
        <f>C4-C5-C6</f>
        <v>82889848.547619045</v>
      </c>
      <c r="D7" s="21">
        <f t="shared" si="0"/>
        <v>15.854536712073903</v>
      </c>
      <c r="E7" s="109">
        <f t="shared" si="1"/>
        <v>15.854536712073903</v>
      </c>
      <c r="F7" s="107"/>
    </row>
    <row r="8" spans="1:6" x14ac:dyDescent="0.25">
      <c r="C8" s="108">
        <f>C7/26</f>
        <v>3188071.0979853477</v>
      </c>
      <c r="D8" s="21">
        <f>D3+D5+D6+D7</f>
        <v>100</v>
      </c>
      <c r="E8" s="17"/>
      <c r="F8" s="17"/>
    </row>
    <row r="10" spans="1:6" x14ac:dyDescent="0.25">
      <c r="B10" s="118" t="s">
        <v>64</v>
      </c>
      <c r="C10" s="119">
        <v>11400000</v>
      </c>
    </row>
    <row r="11" spans="1:6" x14ac:dyDescent="0.25">
      <c r="B11" s="118" t="s">
        <v>65</v>
      </c>
      <c r="C11" s="120">
        <v>7800000</v>
      </c>
    </row>
    <row r="12" spans="1:6" x14ac:dyDescent="0.25">
      <c r="B12" s="121"/>
      <c r="C12" s="120"/>
      <c r="E12" t="s">
        <v>26</v>
      </c>
    </row>
    <row r="13" spans="1:6" x14ac:dyDescent="0.25">
      <c r="B13" s="122" t="s">
        <v>3</v>
      </c>
      <c r="C13" s="96">
        <f>C10+C11+C12</f>
        <v>19200000</v>
      </c>
    </row>
    <row r="14" spans="1:6" x14ac:dyDescent="0.25">
      <c r="C14" s="117">
        <f>C7-C13</f>
        <v>63689848.547619045</v>
      </c>
    </row>
    <row r="16" spans="1:6" x14ac:dyDescent="0.25">
      <c r="C16" s="3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Analisa</vt:lpstr>
      <vt:lpstr>Cost</vt:lpstr>
      <vt:lpstr>Margin</vt:lpstr>
      <vt:lpstr>pendukung</vt:lpstr>
      <vt:lpstr>Rank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2026-10-19T07:46:33Z</dcterms:modified>
</cp:coreProperties>
</file>